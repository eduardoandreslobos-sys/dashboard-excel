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eduardolobosstevens/Desktop/"/>
    </mc:Choice>
  </mc:AlternateContent>
  <xr:revisionPtr revIDLastSave="0" documentId="13_ncr:1_{4DEC92FC-705C-104B-9658-BB25B4F29FDD}" xr6:coauthVersionLast="47" xr6:coauthVersionMax="47" xr10:uidLastSave="{00000000-0000-0000-0000-000000000000}"/>
  <bookViews>
    <workbookView xWindow="0" yWindow="660" windowWidth="30240" windowHeight="17580" tabRatio="500" xr2:uid="{00000000-000D-0000-FFFF-FFFF00000000}"/>
  </bookViews>
  <sheets>
    <sheet name="Hipotecarios Otorgados" sheetId="1" r:id="rId1"/>
    <sheet name="Resumen por Región" sheetId="2" r:id="rId2"/>
    <sheet name="Dashboard Hipotecario" sheetId="4" r:id="rId3"/>
    <sheet name="Chart Data" sheetId="5" state="hidden" r:id="rId4"/>
  </sheets>
  <definedNames>
    <definedName name="_xlnm._FilterDatabase" localSheetId="0" hidden="1">'Hipotecarios Otorgados'!$A$1:$P$1201</definedName>
  </definedName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5" l="1"/>
  <c r="K2" i="5"/>
  <c r="J3" i="5"/>
  <c r="K3" i="5"/>
  <c r="J4" i="5"/>
  <c r="K4" i="5"/>
  <c r="J5" i="5"/>
  <c r="K5" i="5"/>
  <c r="G2" i="5"/>
  <c r="H2" i="5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D2" i="5"/>
  <c r="E2" i="5"/>
  <c r="D3" i="5"/>
  <c r="E3" i="5"/>
  <c r="D4" i="5"/>
  <c r="E4" i="5"/>
  <c r="D5" i="5"/>
  <c r="E5" i="5"/>
  <c r="D6" i="5"/>
  <c r="E6" i="5"/>
  <c r="A2" i="5"/>
  <c r="B2" i="5"/>
  <c r="A3" i="5"/>
  <c r="B3" i="5"/>
  <c r="A4" i="5"/>
  <c r="B4" i="5"/>
  <c r="A5" i="5"/>
  <c r="B5" i="5"/>
  <c r="A6" i="5"/>
  <c r="B6" i="5"/>
  <c r="F16" i="2"/>
  <c r="E16" i="2"/>
  <c r="F15" i="2"/>
  <c r="E15" i="2"/>
  <c r="C15" i="2"/>
  <c r="D15" i="2" s="1"/>
  <c r="B15" i="2"/>
  <c r="F14" i="2"/>
  <c r="E14" i="2"/>
  <c r="C14" i="2"/>
  <c r="D14" i="2" s="1"/>
  <c r="B14" i="2"/>
  <c r="F13" i="2"/>
  <c r="E13" i="2"/>
  <c r="C13" i="2"/>
  <c r="D13" i="2" s="1"/>
  <c r="B13" i="2"/>
  <c r="F12" i="2"/>
  <c r="E12" i="2"/>
  <c r="C12" i="2"/>
  <c r="D12" i="2" s="1"/>
  <c r="B12" i="2"/>
  <c r="F11" i="2"/>
  <c r="E11" i="2"/>
  <c r="C11" i="2"/>
  <c r="D11" i="2" s="1"/>
  <c r="B11" i="2"/>
  <c r="F10" i="2"/>
  <c r="E10" i="2"/>
  <c r="C10" i="2"/>
  <c r="D10" i="2" s="1"/>
  <c r="B10" i="2"/>
  <c r="F9" i="2"/>
  <c r="E9" i="2"/>
  <c r="C9" i="2"/>
  <c r="D9" i="2" s="1"/>
  <c r="B9" i="2"/>
  <c r="F8" i="2"/>
  <c r="E8" i="2"/>
  <c r="C8" i="2"/>
  <c r="D8" i="2" s="1"/>
  <c r="B8" i="2"/>
  <c r="F7" i="2"/>
  <c r="E7" i="2"/>
  <c r="C7" i="2"/>
  <c r="D7" i="2" s="1"/>
  <c r="B7" i="2"/>
  <c r="F6" i="2"/>
  <c r="E6" i="2"/>
  <c r="C6" i="2"/>
  <c r="D6" i="2" s="1"/>
  <c r="B6" i="2"/>
  <c r="F5" i="2"/>
  <c r="E5" i="2"/>
  <c r="C5" i="2"/>
  <c r="D5" i="2" s="1"/>
  <c r="B5" i="2"/>
  <c r="F4" i="2"/>
  <c r="E4" i="2"/>
  <c r="C4" i="2"/>
  <c r="D4" i="2" s="1"/>
  <c r="B4" i="2"/>
  <c r="F3" i="2"/>
  <c r="E3" i="2"/>
  <c r="C3" i="2"/>
  <c r="D3" i="2" s="1"/>
  <c r="B3" i="2"/>
  <c r="F2" i="2"/>
  <c r="E2" i="2"/>
  <c r="C2" i="2"/>
  <c r="B2" i="2"/>
  <c r="B16" i="2" s="1"/>
  <c r="M1201" i="1"/>
  <c r="O1201" i="1" s="1"/>
  <c r="L1201" i="1"/>
  <c r="M1200" i="1"/>
  <c r="O1200" i="1" s="1"/>
  <c r="L1200" i="1"/>
  <c r="M1199" i="1"/>
  <c r="O1199" i="1" s="1"/>
  <c r="L1199" i="1"/>
  <c r="M1198" i="1"/>
  <c r="O1198" i="1" s="1"/>
  <c r="L1198" i="1"/>
  <c r="M1197" i="1"/>
  <c r="O1197" i="1" s="1"/>
  <c r="L1197" i="1"/>
  <c r="M1196" i="1"/>
  <c r="O1196" i="1" s="1"/>
  <c r="L1196" i="1"/>
  <c r="M1195" i="1"/>
  <c r="O1195" i="1" s="1"/>
  <c r="L1195" i="1"/>
  <c r="M1194" i="1"/>
  <c r="O1194" i="1" s="1"/>
  <c r="L1194" i="1"/>
  <c r="M1193" i="1"/>
  <c r="O1193" i="1" s="1"/>
  <c r="L1193" i="1"/>
  <c r="M1192" i="1"/>
  <c r="O1192" i="1" s="1"/>
  <c r="L1192" i="1"/>
  <c r="M1191" i="1"/>
  <c r="O1191" i="1" s="1"/>
  <c r="L1191" i="1"/>
  <c r="M1190" i="1"/>
  <c r="O1190" i="1" s="1"/>
  <c r="L1190" i="1"/>
  <c r="M1189" i="1"/>
  <c r="O1189" i="1" s="1"/>
  <c r="L1189" i="1"/>
  <c r="M1188" i="1"/>
  <c r="O1188" i="1" s="1"/>
  <c r="L1188" i="1"/>
  <c r="M1187" i="1"/>
  <c r="O1187" i="1" s="1"/>
  <c r="L1187" i="1"/>
  <c r="M1186" i="1"/>
  <c r="O1186" i="1" s="1"/>
  <c r="L1186" i="1"/>
  <c r="M1185" i="1"/>
  <c r="O1185" i="1" s="1"/>
  <c r="L1185" i="1"/>
  <c r="M1184" i="1"/>
  <c r="O1184" i="1" s="1"/>
  <c r="L1184" i="1"/>
  <c r="M1183" i="1"/>
  <c r="O1183" i="1" s="1"/>
  <c r="L1183" i="1"/>
  <c r="M1182" i="1"/>
  <c r="O1182" i="1" s="1"/>
  <c r="L1182" i="1"/>
  <c r="M1181" i="1"/>
  <c r="O1181" i="1" s="1"/>
  <c r="L1181" i="1"/>
  <c r="M1180" i="1"/>
  <c r="O1180" i="1" s="1"/>
  <c r="L1180" i="1"/>
  <c r="M1179" i="1"/>
  <c r="O1179" i="1" s="1"/>
  <c r="L1179" i="1"/>
  <c r="M1178" i="1"/>
  <c r="O1178" i="1" s="1"/>
  <c r="L1178" i="1"/>
  <c r="M1177" i="1"/>
  <c r="O1177" i="1" s="1"/>
  <c r="L1177" i="1"/>
  <c r="M1176" i="1"/>
  <c r="O1176" i="1" s="1"/>
  <c r="L1176" i="1"/>
  <c r="M1175" i="1"/>
  <c r="O1175" i="1" s="1"/>
  <c r="L1175" i="1"/>
  <c r="M1174" i="1"/>
  <c r="O1174" i="1" s="1"/>
  <c r="L1174" i="1"/>
  <c r="M1173" i="1"/>
  <c r="O1173" i="1" s="1"/>
  <c r="L1173" i="1"/>
  <c r="M1172" i="1"/>
  <c r="O1172" i="1" s="1"/>
  <c r="L1172" i="1"/>
  <c r="M1171" i="1"/>
  <c r="O1171" i="1" s="1"/>
  <c r="L1171" i="1"/>
  <c r="M1170" i="1"/>
  <c r="O1170" i="1" s="1"/>
  <c r="L1170" i="1"/>
  <c r="M1169" i="1"/>
  <c r="O1169" i="1" s="1"/>
  <c r="L1169" i="1"/>
  <c r="M1168" i="1"/>
  <c r="O1168" i="1" s="1"/>
  <c r="L1168" i="1"/>
  <c r="M1167" i="1"/>
  <c r="O1167" i="1" s="1"/>
  <c r="L1167" i="1"/>
  <c r="M1166" i="1"/>
  <c r="O1166" i="1" s="1"/>
  <c r="L1166" i="1"/>
  <c r="M1165" i="1"/>
  <c r="O1165" i="1" s="1"/>
  <c r="L1165" i="1"/>
  <c r="M1164" i="1"/>
  <c r="O1164" i="1" s="1"/>
  <c r="L1164" i="1"/>
  <c r="M1163" i="1"/>
  <c r="O1163" i="1" s="1"/>
  <c r="L1163" i="1"/>
  <c r="M1162" i="1"/>
  <c r="O1162" i="1" s="1"/>
  <c r="L1162" i="1"/>
  <c r="M1161" i="1"/>
  <c r="O1161" i="1" s="1"/>
  <c r="L1161" i="1"/>
  <c r="M1160" i="1"/>
  <c r="O1160" i="1" s="1"/>
  <c r="L1160" i="1"/>
  <c r="M1159" i="1"/>
  <c r="O1159" i="1" s="1"/>
  <c r="L1159" i="1"/>
  <c r="M1158" i="1"/>
  <c r="O1158" i="1" s="1"/>
  <c r="L1158" i="1"/>
  <c r="M1157" i="1"/>
  <c r="O1157" i="1" s="1"/>
  <c r="L1157" i="1"/>
  <c r="M1156" i="1"/>
  <c r="O1156" i="1" s="1"/>
  <c r="L1156" i="1"/>
  <c r="M1155" i="1"/>
  <c r="O1155" i="1" s="1"/>
  <c r="L1155" i="1"/>
  <c r="M1154" i="1"/>
  <c r="O1154" i="1" s="1"/>
  <c r="L1154" i="1"/>
  <c r="M1153" i="1"/>
  <c r="O1153" i="1" s="1"/>
  <c r="L1153" i="1"/>
  <c r="M1152" i="1"/>
  <c r="O1152" i="1" s="1"/>
  <c r="L1152" i="1"/>
  <c r="M1151" i="1"/>
  <c r="O1151" i="1" s="1"/>
  <c r="L1151" i="1"/>
  <c r="M1150" i="1"/>
  <c r="O1150" i="1" s="1"/>
  <c r="L1150" i="1"/>
  <c r="M1149" i="1"/>
  <c r="O1149" i="1" s="1"/>
  <c r="L1149" i="1"/>
  <c r="M1148" i="1"/>
  <c r="O1148" i="1" s="1"/>
  <c r="L1148" i="1"/>
  <c r="M1147" i="1"/>
  <c r="O1147" i="1" s="1"/>
  <c r="L1147" i="1"/>
  <c r="M1146" i="1"/>
  <c r="O1146" i="1" s="1"/>
  <c r="L1146" i="1"/>
  <c r="M1145" i="1"/>
  <c r="O1145" i="1" s="1"/>
  <c r="L1145" i="1"/>
  <c r="M1144" i="1"/>
  <c r="O1144" i="1" s="1"/>
  <c r="L1144" i="1"/>
  <c r="M1143" i="1"/>
  <c r="O1143" i="1" s="1"/>
  <c r="L1143" i="1"/>
  <c r="M1142" i="1"/>
  <c r="O1142" i="1" s="1"/>
  <c r="L1142" i="1"/>
  <c r="M1141" i="1"/>
  <c r="O1141" i="1" s="1"/>
  <c r="L1141" i="1"/>
  <c r="M1140" i="1"/>
  <c r="O1140" i="1" s="1"/>
  <c r="L1140" i="1"/>
  <c r="M1139" i="1"/>
  <c r="O1139" i="1" s="1"/>
  <c r="L1139" i="1"/>
  <c r="M1138" i="1"/>
  <c r="O1138" i="1" s="1"/>
  <c r="L1138" i="1"/>
  <c r="M1137" i="1"/>
  <c r="O1137" i="1" s="1"/>
  <c r="L1137" i="1"/>
  <c r="M1136" i="1"/>
  <c r="O1136" i="1" s="1"/>
  <c r="L1136" i="1"/>
  <c r="M1135" i="1"/>
  <c r="O1135" i="1" s="1"/>
  <c r="L1135" i="1"/>
  <c r="M1134" i="1"/>
  <c r="O1134" i="1" s="1"/>
  <c r="L1134" i="1"/>
  <c r="M1133" i="1"/>
  <c r="O1133" i="1" s="1"/>
  <c r="L1133" i="1"/>
  <c r="M1132" i="1"/>
  <c r="O1132" i="1" s="1"/>
  <c r="L1132" i="1"/>
  <c r="M1131" i="1"/>
  <c r="O1131" i="1" s="1"/>
  <c r="L1131" i="1"/>
  <c r="M1130" i="1"/>
  <c r="O1130" i="1" s="1"/>
  <c r="L1130" i="1"/>
  <c r="M1129" i="1"/>
  <c r="O1129" i="1" s="1"/>
  <c r="L1129" i="1"/>
  <c r="M1128" i="1"/>
  <c r="O1128" i="1" s="1"/>
  <c r="L1128" i="1"/>
  <c r="M1127" i="1"/>
  <c r="O1127" i="1" s="1"/>
  <c r="L1127" i="1"/>
  <c r="M1126" i="1"/>
  <c r="O1126" i="1" s="1"/>
  <c r="L1126" i="1"/>
  <c r="M1125" i="1"/>
  <c r="O1125" i="1" s="1"/>
  <c r="L1125" i="1"/>
  <c r="M1124" i="1"/>
  <c r="O1124" i="1" s="1"/>
  <c r="L1124" i="1"/>
  <c r="M1123" i="1"/>
  <c r="O1123" i="1" s="1"/>
  <c r="L1123" i="1"/>
  <c r="M1122" i="1"/>
  <c r="O1122" i="1" s="1"/>
  <c r="L1122" i="1"/>
  <c r="M1121" i="1"/>
  <c r="O1121" i="1" s="1"/>
  <c r="L1121" i="1"/>
  <c r="M1120" i="1"/>
  <c r="O1120" i="1" s="1"/>
  <c r="L1120" i="1"/>
  <c r="M1119" i="1"/>
  <c r="O1119" i="1" s="1"/>
  <c r="L1119" i="1"/>
  <c r="M1118" i="1"/>
  <c r="O1118" i="1" s="1"/>
  <c r="L1118" i="1"/>
  <c r="M1117" i="1"/>
  <c r="O1117" i="1" s="1"/>
  <c r="L1117" i="1"/>
  <c r="M1116" i="1"/>
  <c r="O1116" i="1" s="1"/>
  <c r="L1116" i="1"/>
  <c r="M1115" i="1"/>
  <c r="O1115" i="1" s="1"/>
  <c r="L1115" i="1"/>
  <c r="M1114" i="1"/>
  <c r="O1114" i="1" s="1"/>
  <c r="L1114" i="1"/>
  <c r="M1113" i="1"/>
  <c r="O1113" i="1" s="1"/>
  <c r="L1113" i="1"/>
  <c r="M1112" i="1"/>
  <c r="O1112" i="1" s="1"/>
  <c r="L1112" i="1"/>
  <c r="M1111" i="1"/>
  <c r="O1111" i="1" s="1"/>
  <c r="L1111" i="1"/>
  <c r="M1110" i="1"/>
  <c r="O1110" i="1" s="1"/>
  <c r="L1110" i="1"/>
  <c r="M1109" i="1"/>
  <c r="O1109" i="1" s="1"/>
  <c r="L1109" i="1"/>
  <c r="M1108" i="1"/>
  <c r="O1108" i="1" s="1"/>
  <c r="L1108" i="1"/>
  <c r="M1107" i="1"/>
  <c r="O1107" i="1" s="1"/>
  <c r="L1107" i="1"/>
  <c r="M1106" i="1"/>
  <c r="O1106" i="1" s="1"/>
  <c r="L1106" i="1"/>
  <c r="M1105" i="1"/>
  <c r="O1105" i="1" s="1"/>
  <c r="L1105" i="1"/>
  <c r="M1104" i="1"/>
  <c r="O1104" i="1" s="1"/>
  <c r="L1104" i="1"/>
  <c r="M1103" i="1"/>
  <c r="O1103" i="1" s="1"/>
  <c r="L1103" i="1"/>
  <c r="M1102" i="1"/>
  <c r="O1102" i="1" s="1"/>
  <c r="L1102" i="1"/>
  <c r="M1101" i="1"/>
  <c r="O1101" i="1" s="1"/>
  <c r="L1101" i="1"/>
  <c r="M1100" i="1"/>
  <c r="O1100" i="1" s="1"/>
  <c r="L1100" i="1"/>
  <c r="M1099" i="1"/>
  <c r="O1099" i="1" s="1"/>
  <c r="L1099" i="1"/>
  <c r="M1098" i="1"/>
  <c r="O1098" i="1" s="1"/>
  <c r="L1098" i="1"/>
  <c r="M1097" i="1"/>
  <c r="O1097" i="1" s="1"/>
  <c r="L1097" i="1"/>
  <c r="M1096" i="1"/>
  <c r="O1096" i="1" s="1"/>
  <c r="L1096" i="1"/>
  <c r="M1095" i="1"/>
  <c r="O1095" i="1" s="1"/>
  <c r="L1095" i="1"/>
  <c r="M1094" i="1"/>
  <c r="O1094" i="1" s="1"/>
  <c r="L1094" i="1"/>
  <c r="M1093" i="1"/>
  <c r="O1093" i="1" s="1"/>
  <c r="L1093" i="1"/>
  <c r="M1092" i="1"/>
  <c r="O1092" i="1" s="1"/>
  <c r="L1092" i="1"/>
  <c r="M1091" i="1"/>
  <c r="O1091" i="1" s="1"/>
  <c r="L1091" i="1"/>
  <c r="M1090" i="1"/>
  <c r="O1090" i="1" s="1"/>
  <c r="L1090" i="1"/>
  <c r="M1089" i="1"/>
  <c r="O1089" i="1" s="1"/>
  <c r="L1089" i="1"/>
  <c r="M1088" i="1"/>
  <c r="O1088" i="1" s="1"/>
  <c r="L1088" i="1"/>
  <c r="M1087" i="1"/>
  <c r="O1087" i="1" s="1"/>
  <c r="L1087" i="1"/>
  <c r="M1086" i="1"/>
  <c r="O1086" i="1" s="1"/>
  <c r="L1086" i="1"/>
  <c r="M1085" i="1"/>
  <c r="O1085" i="1" s="1"/>
  <c r="L1085" i="1"/>
  <c r="M1084" i="1"/>
  <c r="O1084" i="1" s="1"/>
  <c r="L1084" i="1"/>
  <c r="M1083" i="1"/>
  <c r="O1083" i="1" s="1"/>
  <c r="L1083" i="1"/>
  <c r="M1082" i="1"/>
  <c r="O1082" i="1" s="1"/>
  <c r="L1082" i="1"/>
  <c r="M1081" i="1"/>
  <c r="O1081" i="1" s="1"/>
  <c r="L1081" i="1"/>
  <c r="M1080" i="1"/>
  <c r="O1080" i="1" s="1"/>
  <c r="L1080" i="1"/>
  <c r="M1079" i="1"/>
  <c r="O1079" i="1" s="1"/>
  <c r="L1079" i="1"/>
  <c r="M1078" i="1"/>
  <c r="O1078" i="1" s="1"/>
  <c r="L1078" i="1"/>
  <c r="M1077" i="1"/>
  <c r="O1077" i="1" s="1"/>
  <c r="L1077" i="1"/>
  <c r="M1076" i="1"/>
  <c r="O1076" i="1" s="1"/>
  <c r="L1076" i="1"/>
  <c r="M1075" i="1"/>
  <c r="O1075" i="1" s="1"/>
  <c r="L1075" i="1"/>
  <c r="M1074" i="1"/>
  <c r="O1074" i="1" s="1"/>
  <c r="L1074" i="1"/>
  <c r="M1073" i="1"/>
  <c r="O1073" i="1" s="1"/>
  <c r="L1073" i="1"/>
  <c r="M1072" i="1"/>
  <c r="O1072" i="1" s="1"/>
  <c r="L1072" i="1"/>
  <c r="M1071" i="1"/>
  <c r="O1071" i="1" s="1"/>
  <c r="L1071" i="1"/>
  <c r="M1070" i="1"/>
  <c r="O1070" i="1" s="1"/>
  <c r="L1070" i="1"/>
  <c r="M1069" i="1"/>
  <c r="O1069" i="1" s="1"/>
  <c r="L1069" i="1"/>
  <c r="M1068" i="1"/>
  <c r="O1068" i="1" s="1"/>
  <c r="L1068" i="1"/>
  <c r="M1067" i="1"/>
  <c r="O1067" i="1" s="1"/>
  <c r="L1067" i="1"/>
  <c r="M1066" i="1"/>
  <c r="O1066" i="1" s="1"/>
  <c r="L1066" i="1"/>
  <c r="M1065" i="1"/>
  <c r="O1065" i="1" s="1"/>
  <c r="L1065" i="1"/>
  <c r="M1064" i="1"/>
  <c r="O1064" i="1" s="1"/>
  <c r="L1064" i="1"/>
  <c r="M1063" i="1"/>
  <c r="O1063" i="1" s="1"/>
  <c r="L1063" i="1"/>
  <c r="M1062" i="1"/>
  <c r="O1062" i="1" s="1"/>
  <c r="L1062" i="1"/>
  <c r="M1061" i="1"/>
  <c r="O1061" i="1" s="1"/>
  <c r="L1061" i="1"/>
  <c r="M1060" i="1"/>
  <c r="O1060" i="1" s="1"/>
  <c r="L1060" i="1"/>
  <c r="M1059" i="1"/>
  <c r="O1059" i="1" s="1"/>
  <c r="L1059" i="1"/>
  <c r="M1058" i="1"/>
  <c r="O1058" i="1" s="1"/>
  <c r="L1058" i="1"/>
  <c r="M1057" i="1"/>
  <c r="O1057" i="1" s="1"/>
  <c r="L1057" i="1"/>
  <c r="M1056" i="1"/>
  <c r="O1056" i="1" s="1"/>
  <c r="L1056" i="1"/>
  <c r="M1055" i="1"/>
  <c r="O1055" i="1" s="1"/>
  <c r="L1055" i="1"/>
  <c r="M1054" i="1"/>
  <c r="O1054" i="1" s="1"/>
  <c r="L1054" i="1"/>
  <c r="M1053" i="1"/>
  <c r="O1053" i="1" s="1"/>
  <c r="L1053" i="1"/>
  <c r="M1052" i="1"/>
  <c r="O1052" i="1" s="1"/>
  <c r="L1052" i="1"/>
  <c r="M1051" i="1"/>
  <c r="O1051" i="1" s="1"/>
  <c r="L1051" i="1"/>
  <c r="M1050" i="1"/>
  <c r="O1050" i="1" s="1"/>
  <c r="L1050" i="1"/>
  <c r="M1049" i="1"/>
  <c r="O1049" i="1" s="1"/>
  <c r="L1049" i="1"/>
  <c r="M1048" i="1"/>
  <c r="O1048" i="1" s="1"/>
  <c r="L1048" i="1"/>
  <c r="M1047" i="1"/>
  <c r="O1047" i="1" s="1"/>
  <c r="L1047" i="1"/>
  <c r="M1046" i="1"/>
  <c r="O1046" i="1" s="1"/>
  <c r="L1046" i="1"/>
  <c r="M1045" i="1"/>
  <c r="O1045" i="1" s="1"/>
  <c r="L1045" i="1"/>
  <c r="M1044" i="1"/>
  <c r="O1044" i="1" s="1"/>
  <c r="L1044" i="1"/>
  <c r="M1043" i="1"/>
  <c r="O1043" i="1" s="1"/>
  <c r="L1043" i="1"/>
  <c r="M1042" i="1"/>
  <c r="O1042" i="1" s="1"/>
  <c r="L1042" i="1"/>
  <c r="M1041" i="1"/>
  <c r="O1041" i="1" s="1"/>
  <c r="L1041" i="1"/>
  <c r="M1040" i="1"/>
  <c r="O1040" i="1" s="1"/>
  <c r="L1040" i="1"/>
  <c r="M1039" i="1"/>
  <c r="O1039" i="1" s="1"/>
  <c r="L1039" i="1"/>
  <c r="M1038" i="1"/>
  <c r="O1038" i="1" s="1"/>
  <c r="L1038" i="1"/>
  <c r="M1037" i="1"/>
  <c r="O1037" i="1" s="1"/>
  <c r="L1037" i="1"/>
  <c r="M1036" i="1"/>
  <c r="O1036" i="1" s="1"/>
  <c r="L1036" i="1"/>
  <c r="M1035" i="1"/>
  <c r="O1035" i="1" s="1"/>
  <c r="L1035" i="1"/>
  <c r="M1034" i="1"/>
  <c r="O1034" i="1" s="1"/>
  <c r="L1034" i="1"/>
  <c r="M1033" i="1"/>
  <c r="O1033" i="1" s="1"/>
  <c r="L1033" i="1"/>
  <c r="M1032" i="1"/>
  <c r="O1032" i="1" s="1"/>
  <c r="L1032" i="1"/>
  <c r="M1031" i="1"/>
  <c r="O1031" i="1" s="1"/>
  <c r="L1031" i="1"/>
  <c r="M1030" i="1"/>
  <c r="O1030" i="1" s="1"/>
  <c r="L1030" i="1"/>
  <c r="M1029" i="1"/>
  <c r="O1029" i="1" s="1"/>
  <c r="L1029" i="1"/>
  <c r="M1028" i="1"/>
  <c r="O1028" i="1" s="1"/>
  <c r="L1028" i="1"/>
  <c r="M1027" i="1"/>
  <c r="O1027" i="1" s="1"/>
  <c r="L1027" i="1"/>
  <c r="M1026" i="1"/>
  <c r="O1026" i="1" s="1"/>
  <c r="L1026" i="1"/>
  <c r="M1025" i="1"/>
  <c r="O1025" i="1" s="1"/>
  <c r="L1025" i="1"/>
  <c r="M1024" i="1"/>
  <c r="O1024" i="1" s="1"/>
  <c r="L1024" i="1"/>
  <c r="M1023" i="1"/>
  <c r="O1023" i="1" s="1"/>
  <c r="L1023" i="1"/>
  <c r="M1022" i="1"/>
  <c r="O1022" i="1" s="1"/>
  <c r="L1022" i="1"/>
  <c r="M1021" i="1"/>
  <c r="O1021" i="1" s="1"/>
  <c r="L1021" i="1"/>
  <c r="M1020" i="1"/>
  <c r="O1020" i="1" s="1"/>
  <c r="L1020" i="1"/>
  <c r="M1019" i="1"/>
  <c r="O1019" i="1" s="1"/>
  <c r="L1019" i="1"/>
  <c r="M1018" i="1"/>
  <c r="O1018" i="1" s="1"/>
  <c r="L1018" i="1"/>
  <c r="M1017" i="1"/>
  <c r="O1017" i="1" s="1"/>
  <c r="L1017" i="1"/>
  <c r="M1016" i="1"/>
  <c r="O1016" i="1" s="1"/>
  <c r="L1016" i="1"/>
  <c r="M1015" i="1"/>
  <c r="O1015" i="1" s="1"/>
  <c r="L1015" i="1"/>
  <c r="M1014" i="1"/>
  <c r="O1014" i="1" s="1"/>
  <c r="L1014" i="1"/>
  <c r="M1013" i="1"/>
  <c r="O1013" i="1" s="1"/>
  <c r="L1013" i="1"/>
  <c r="M1012" i="1"/>
  <c r="O1012" i="1" s="1"/>
  <c r="L1012" i="1"/>
  <c r="M1011" i="1"/>
  <c r="O1011" i="1" s="1"/>
  <c r="L1011" i="1"/>
  <c r="M1010" i="1"/>
  <c r="O1010" i="1" s="1"/>
  <c r="L1010" i="1"/>
  <c r="M1009" i="1"/>
  <c r="O1009" i="1" s="1"/>
  <c r="L1009" i="1"/>
  <c r="M1008" i="1"/>
  <c r="O1008" i="1" s="1"/>
  <c r="L1008" i="1"/>
  <c r="M1007" i="1"/>
  <c r="O1007" i="1" s="1"/>
  <c r="L1007" i="1"/>
  <c r="M1006" i="1"/>
  <c r="O1006" i="1" s="1"/>
  <c r="L1006" i="1"/>
  <c r="M1005" i="1"/>
  <c r="O1005" i="1" s="1"/>
  <c r="L1005" i="1"/>
  <c r="M1004" i="1"/>
  <c r="O1004" i="1" s="1"/>
  <c r="L1004" i="1"/>
  <c r="M1003" i="1"/>
  <c r="O1003" i="1" s="1"/>
  <c r="L1003" i="1"/>
  <c r="M1002" i="1"/>
  <c r="O1002" i="1" s="1"/>
  <c r="L1002" i="1"/>
  <c r="M1001" i="1"/>
  <c r="O1001" i="1" s="1"/>
  <c r="L1001" i="1"/>
  <c r="M1000" i="1"/>
  <c r="O1000" i="1" s="1"/>
  <c r="L1000" i="1"/>
  <c r="M999" i="1"/>
  <c r="O999" i="1" s="1"/>
  <c r="L999" i="1"/>
  <c r="M998" i="1"/>
  <c r="O998" i="1" s="1"/>
  <c r="L998" i="1"/>
  <c r="M997" i="1"/>
  <c r="O997" i="1" s="1"/>
  <c r="L997" i="1"/>
  <c r="M996" i="1"/>
  <c r="O996" i="1" s="1"/>
  <c r="L996" i="1"/>
  <c r="M995" i="1"/>
  <c r="O995" i="1" s="1"/>
  <c r="L995" i="1"/>
  <c r="M994" i="1"/>
  <c r="O994" i="1" s="1"/>
  <c r="L994" i="1"/>
  <c r="M993" i="1"/>
  <c r="O993" i="1" s="1"/>
  <c r="L993" i="1"/>
  <c r="M992" i="1"/>
  <c r="O992" i="1" s="1"/>
  <c r="L992" i="1"/>
  <c r="M991" i="1"/>
  <c r="O991" i="1" s="1"/>
  <c r="L991" i="1"/>
  <c r="M990" i="1"/>
  <c r="O990" i="1" s="1"/>
  <c r="L990" i="1"/>
  <c r="M989" i="1"/>
  <c r="O989" i="1" s="1"/>
  <c r="L989" i="1"/>
  <c r="M988" i="1"/>
  <c r="O988" i="1" s="1"/>
  <c r="L988" i="1"/>
  <c r="M987" i="1"/>
  <c r="O987" i="1" s="1"/>
  <c r="L987" i="1"/>
  <c r="M986" i="1"/>
  <c r="O986" i="1" s="1"/>
  <c r="L986" i="1"/>
  <c r="M985" i="1"/>
  <c r="O985" i="1" s="1"/>
  <c r="L985" i="1"/>
  <c r="M984" i="1"/>
  <c r="O984" i="1" s="1"/>
  <c r="L984" i="1"/>
  <c r="M983" i="1"/>
  <c r="O983" i="1" s="1"/>
  <c r="L983" i="1"/>
  <c r="M982" i="1"/>
  <c r="O982" i="1" s="1"/>
  <c r="L982" i="1"/>
  <c r="M981" i="1"/>
  <c r="O981" i="1" s="1"/>
  <c r="L981" i="1"/>
  <c r="M980" i="1"/>
  <c r="O980" i="1" s="1"/>
  <c r="L980" i="1"/>
  <c r="M979" i="1"/>
  <c r="O979" i="1" s="1"/>
  <c r="L979" i="1"/>
  <c r="M978" i="1"/>
  <c r="O978" i="1" s="1"/>
  <c r="L978" i="1"/>
  <c r="M977" i="1"/>
  <c r="O977" i="1" s="1"/>
  <c r="L977" i="1"/>
  <c r="M976" i="1"/>
  <c r="O976" i="1" s="1"/>
  <c r="L976" i="1"/>
  <c r="M975" i="1"/>
  <c r="O975" i="1" s="1"/>
  <c r="L975" i="1"/>
  <c r="M974" i="1"/>
  <c r="O974" i="1" s="1"/>
  <c r="L974" i="1"/>
  <c r="M973" i="1"/>
  <c r="O973" i="1" s="1"/>
  <c r="L973" i="1"/>
  <c r="M972" i="1"/>
  <c r="O972" i="1" s="1"/>
  <c r="L972" i="1"/>
  <c r="M971" i="1"/>
  <c r="O971" i="1" s="1"/>
  <c r="L971" i="1"/>
  <c r="M970" i="1"/>
  <c r="O970" i="1" s="1"/>
  <c r="L970" i="1"/>
  <c r="M969" i="1"/>
  <c r="O969" i="1" s="1"/>
  <c r="L969" i="1"/>
  <c r="M968" i="1"/>
  <c r="O968" i="1" s="1"/>
  <c r="L968" i="1"/>
  <c r="M967" i="1"/>
  <c r="O967" i="1" s="1"/>
  <c r="L967" i="1"/>
  <c r="M966" i="1"/>
  <c r="O966" i="1" s="1"/>
  <c r="L966" i="1"/>
  <c r="M965" i="1"/>
  <c r="O965" i="1" s="1"/>
  <c r="L965" i="1"/>
  <c r="M964" i="1"/>
  <c r="O964" i="1" s="1"/>
  <c r="L964" i="1"/>
  <c r="M963" i="1"/>
  <c r="O963" i="1" s="1"/>
  <c r="L963" i="1"/>
  <c r="M962" i="1"/>
  <c r="O962" i="1" s="1"/>
  <c r="L962" i="1"/>
  <c r="M961" i="1"/>
  <c r="O961" i="1" s="1"/>
  <c r="L961" i="1"/>
  <c r="M960" i="1"/>
  <c r="O960" i="1" s="1"/>
  <c r="L960" i="1"/>
  <c r="M959" i="1"/>
  <c r="O959" i="1" s="1"/>
  <c r="L959" i="1"/>
  <c r="M958" i="1"/>
  <c r="O958" i="1" s="1"/>
  <c r="L958" i="1"/>
  <c r="M957" i="1"/>
  <c r="O957" i="1" s="1"/>
  <c r="L957" i="1"/>
  <c r="M956" i="1"/>
  <c r="O956" i="1" s="1"/>
  <c r="L956" i="1"/>
  <c r="M955" i="1"/>
  <c r="O955" i="1" s="1"/>
  <c r="L955" i="1"/>
  <c r="M954" i="1"/>
  <c r="O954" i="1" s="1"/>
  <c r="L954" i="1"/>
  <c r="M953" i="1"/>
  <c r="O953" i="1" s="1"/>
  <c r="L953" i="1"/>
  <c r="M952" i="1"/>
  <c r="O952" i="1" s="1"/>
  <c r="L952" i="1"/>
  <c r="M951" i="1"/>
  <c r="O951" i="1" s="1"/>
  <c r="L951" i="1"/>
  <c r="M950" i="1"/>
  <c r="O950" i="1" s="1"/>
  <c r="L950" i="1"/>
  <c r="M949" i="1"/>
  <c r="O949" i="1" s="1"/>
  <c r="L949" i="1"/>
  <c r="M948" i="1"/>
  <c r="O948" i="1" s="1"/>
  <c r="L948" i="1"/>
  <c r="M947" i="1"/>
  <c r="O947" i="1" s="1"/>
  <c r="L947" i="1"/>
  <c r="M946" i="1"/>
  <c r="O946" i="1" s="1"/>
  <c r="L946" i="1"/>
  <c r="M945" i="1"/>
  <c r="O945" i="1" s="1"/>
  <c r="L945" i="1"/>
  <c r="M944" i="1"/>
  <c r="O944" i="1" s="1"/>
  <c r="L944" i="1"/>
  <c r="M943" i="1"/>
  <c r="O943" i="1" s="1"/>
  <c r="L943" i="1"/>
  <c r="M942" i="1"/>
  <c r="O942" i="1" s="1"/>
  <c r="L942" i="1"/>
  <c r="M941" i="1"/>
  <c r="O941" i="1" s="1"/>
  <c r="L941" i="1"/>
  <c r="M940" i="1"/>
  <c r="O940" i="1" s="1"/>
  <c r="L940" i="1"/>
  <c r="M939" i="1"/>
  <c r="O939" i="1" s="1"/>
  <c r="L939" i="1"/>
  <c r="M938" i="1"/>
  <c r="O938" i="1" s="1"/>
  <c r="L938" i="1"/>
  <c r="M937" i="1"/>
  <c r="O937" i="1" s="1"/>
  <c r="L937" i="1"/>
  <c r="M936" i="1"/>
  <c r="O936" i="1" s="1"/>
  <c r="L936" i="1"/>
  <c r="M935" i="1"/>
  <c r="O935" i="1" s="1"/>
  <c r="L935" i="1"/>
  <c r="M934" i="1"/>
  <c r="O934" i="1" s="1"/>
  <c r="L934" i="1"/>
  <c r="M933" i="1"/>
  <c r="O933" i="1" s="1"/>
  <c r="L933" i="1"/>
  <c r="M932" i="1"/>
  <c r="O932" i="1" s="1"/>
  <c r="L932" i="1"/>
  <c r="M931" i="1"/>
  <c r="O931" i="1" s="1"/>
  <c r="L931" i="1"/>
  <c r="M930" i="1"/>
  <c r="O930" i="1" s="1"/>
  <c r="L930" i="1"/>
  <c r="M929" i="1"/>
  <c r="O929" i="1" s="1"/>
  <c r="L929" i="1"/>
  <c r="M928" i="1"/>
  <c r="O928" i="1" s="1"/>
  <c r="L928" i="1"/>
  <c r="M927" i="1"/>
  <c r="O927" i="1" s="1"/>
  <c r="L927" i="1"/>
  <c r="M926" i="1"/>
  <c r="O926" i="1" s="1"/>
  <c r="L926" i="1"/>
  <c r="M925" i="1"/>
  <c r="O925" i="1" s="1"/>
  <c r="L925" i="1"/>
  <c r="M924" i="1"/>
  <c r="O924" i="1" s="1"/>
  <c r="L924" i="1"/>
  <c r="M923" i="1"/>
  <c r="O923" i="1" s="1"/>
  <c r="L923" i="1"/>
  <c r="M922" i="1"/>
  <c r="O922" i="1" s="1"/>
  <c r="L922" i="1"/>
  <c r="M921" i="1"/>
  <c r="O921" i="1" s="1"/>
  <c r="L921" i="1"/>
  <c r="M920" i="1"/>
  <c r="O920" i="1" s="1"/>
  <c r="L920" i="1"/>
  <c r="M919" i="1"/>
  <c r="O919" i="1" s="1"/>
  <c r="L919" i="1"/>
  <c r="M918" i="1"/>
  <c r="O918" i="1" s="1"/>
  <c r="L918" i="1"/>
  <c r="M917" i="1"/>
  <c r="O917" i="1" s="1"/>
  <c r="L917" i="1"/>
  <c r="M916" i="1"/>
  <c r="O916" i="1" s="1"/>
  <c r="L916" i="1"/>
  <c r="M915" i="1"/>
  <c r="O915" i="1" s="1"/>
  <c r="L915" i="1"/>
  <c r="M914" i="1"/>
  <c r="O914" i="1" s="1"/>
  <c r="L914" i="1"/>
  <c r="M913" i="1"/>
  <c r="O913" i="1" s="1"/>
  <c r="L913" i="1"/>
  <c r="M912" i="1"/>
  <c r="O912" i="1" s="1"/>
  <c r="L912" i="1"/>
  <c r="M911" i="1"/>
  <c r="O911" i="1" s="1"/>
  <c r="L911" i="1"/>
  <c r="M910" i="1"/>
  <c r="O910" i="1" s="1"/>
  <c r="L910" i="1"/>
  <c r="M909" i="1"/>
  <c r="O909" i="1" s="1"/>
  <c r="L909" i="1"/>
  <c r="M908" i="1"/>
  <c r="O908" i="1" s="1"/>
  <c r="L908" i="1"/>
  <c r="M907" i="1"/>
  <c r="O907" i="1" s="1"/>
  <c r="L907" i="1"/>
  <c r="M906" i="1"/>
  <c r="O906" i="1" s="1"/>
  <c r="L906" i="1"/>
  <c r="M905" i="1"/>
  <c r="O905" i="1" s="1"/>
  <c r="L905" i="1"/>
  <c r="M904" i="1"/>
  <c r="O904" i="1" s="1"/>
  <c r="L904" i="1"/>
  <c r="M903" i="1"/>
  <c r="O903" i="1" s="1"/>
  <c r="L903" i="1"/>
  <c r="M902" i="1"/>
  <c r="O902" i="1" s="1"/>
  <c r="L902" i="1"/>
  <c r="M901" i="1"/>
  <c r="O901" i="1" s="1"/>
  <c r="L901" i="1"/>
  <c r="M900" i="1"/>
  <c r="O900" i="1" s="1"/>
  <c r="L900" i="1"/>
  <c r="M899" i="1"/>
  <c r="O899" i="1" s="1"/>
  <c r="L899" i="1"/>
  <c r="M898" i="1"/>
  <c r="O898" i="1" s="1"/>
  <c r="L898" i="1"/>
  <c r="M897" i="1"/>
  <c r="O897" i="1" s="1"/>
  <c r="L897" i="1"/>
  <c r="M896" i="1"/>
  <c r="O896" i="1" s="1"/>
  <c r="L896" i="1"/>
  <c r="M895" i="1"/>
  <c r="O895" i="1" s="1"/>
  <c r="L895" i="1"/>
  <c r="M894" i="1"/>
  <c r="O894" i="1" s="1"/>
  <c r="L894" i="1"/>
  <c r="M893" i="1"/>
  <c r="O893" i="1" s="1"/>
  <c r="L893" i="1"/>
  <c r="M892" i="1"/>
  <c r="O892" i="1" s="1"/>
  <c r="L892" i="1"/>
  <c r="M891" i="1"/>
  <c r="O891" i="1" s="1"/>
  <c r="L891" i="1"/>
  <c r="M890" i="1"/>
  <c r="O890" i="1" s="1"/>
  <c r="L890" i="1"/>
  <c r="M889" i="1"/>
  <c r="O889" i="1" s="1"/>
  <c r="L889" i="1"/>
  <c r="M888" i="1"/>
  <c r="O888" i="1" s="1"/>
  <c r="L888" i="1"/>
  <c r="M887" i="1"/>
  <c r="O887" i="1" s="1"/>
  <c r="L887" i="1"/>
  <c r="M886" i="1"/>
  <c r="O886" i="1" s="1"/>
  <c r="L886" i="1"/>
  <c r="M885" i="1"/>
  <c r="O885" i="1" s="1"/>
  <c r="L885" i="1"/>
  <c r="M884" i="1"/>
  <c r="O884" i="1" s="1"/>
  <c r="L884" i="1"/>
  <c r="M883" i="1"/>
  <c r="O883" i="1" s="1"/>
  <c r="L883" i="1"/>
  <c r="M882" i="1"/>
  <c r="O882" i="1" s="1"/>
  <c r="L882" i="1"/>
  <c r="M881" i="1"/>
  <c r="O881" i="1" s="1"/>
  <c r="L881" i="1"/>
  <c r="M880" i="1"/>
  <c r="O880" i="1" s="1"/>
  <c r="L880" i="1"/>
  <c r="M879" i="1"/>
  <c r="O879" i="1" s="1"/>
  <c r="L879" i="1"/>
  <c r="M878" i="1"/>
  <c r="O878" i="1" s="1"/>
  <c r="L878" i="1"/>
  <c r="M877" i="1"/>
  <c r="O877" i="1" s="1"/>
  <c r="L877" i="1"/>
  <c r="M876" i="1"/>
  <c r="O876" i="1" s="1"/>
  <c r="L876" i="1"/>
  <c r="M875" i="1"/>
  <c r="O875" i="1" s="1"/>
  <c r="L875" i="1"/>
  <c r="M874" i="1"/>
  <c r="O874" i="1" s="1"/>
  <c r="L874" i="1"/>
  <c r="M873" i="1"/>
  <c r="O873" i="1" s="1"/>
  <c r="L873" i="1"/>
  <c r="M872" i="1"/>
  <c r="O872" i="1" s="1"/>
  <c r="L872" i="1"/>
  <c r="M871" i="1"/>
  <c r="O871" i="1" s="1"/>
  <c r="L871" i="1"/>
  <c r="M870" i="1"/>
  <c r="O870" i="1" s="1"/>
  <c r="L870" i="1"/>
  <c r="M869" i="1"/>
  <c r="O869" i="1" s="1"/>
  <c r="L869" i="1"/>
  <c r="M868" i="1"/>
  <c r="O868" i="1" s="1"/>
  <c r="L868" i="1"/>
  <c r="M867" i="1"/>
  <c r="O867" i="1" s="1"/>
  <c r="L867" i="1"/>
  <c r="M866" i="1"/>
  <c r="O866" i="1" s="1"/>
  <c r="L866" i="1"/>
  <c r="M865" i="1"/>
  <c r="O865" i="1" s="1"/>
  <c r="L865" i="1"/>
  <c r="M864" i="1"/>
  <c r="O864" i="1" s="1"/>
  <c r="L864" i="1"/>
  <c r="M863" i="1"/>
  <c r="O863" i="1" s="1"/>
  <c r="L863" i="1"/>
  <c r="M862" i="1"/>
  <c r="O862" i="1" s="1"/>
  <c r="L862" i="1"/>
  <c r="M861" i="1"/>
  <c r="O861" i="1" s="1"/>
  <c r="L861" i="1"/>
  <c r="M860" i="1"/>
  <c r="O860" i="1" s="1"/>
  <c r="L860" i="1"/>
  <c r="M859" i="1"/>
  <c r="O859" i="1" s="1"/>
  <c r="L859" i="1"/>
  <c r="M858" i="1"/>
  <c r="O858" i="1" s="1"/>
  <c r="L858" i="1"/>
  <c r="M857" i="1"/>
  <c r="O857" i="1" s="1"/>
  <c r="L857" i="1"/>
  <c r="M856" i="1"/>
  <c r="O856" i="1" s="1"/>
  <c r="L856" i="1"/>
  <c r="M855" i="1"/>
  <c r="O855" i="1" s="1"/>
  <c r="L855" i="1"/>
  <c r="M854" i="1"/>
  <c r="O854" i="1" s="1"/>
  <c r="L854" i="1"/>
  <c r="M853" i="1"/>
  <c r="O853" i="1" s="1"/>
  <c r="L853" i="1"/>
  <c r="M852" i="1"/>
  <c r="O852" i="1" s="1"/>
  <c r="L852" i="1"/>
  <c r="M851" i="1"/>
  <c r="O851" i="1" s="1"/>
  <c r="L851" i="1"/>
  <c r="M850" i="1"/>
  <c r="O850" i="1" s="1"/>
  <c r="L850" i="1"/>
  <c r="M849" i="1"/>
  <c r="O849" i="1" s="1"/>
  <c r="L849" i="1"/>
  <c r="M848" i="1"/>
  <c r="O848" i="1" s="1"/>
  <c r="L848" i="1"/>
  <c r="M847" i="1"/>
  <c r="O847" i="1" s="1"/>
  <c r="L847" i="1"/>
  <c r="M846" i="1"/>
  <c r="O846" i="1" s="1"/>
  <c r="L846" i="1"/>
  <c r="M845" i="1"/>
  <c r="O845" i="1" s="1"/>
  <c r="L845" i="1"/>
  <c r="M844" i="1"/>
  <c r="O844" i="1" s="1"/>
  <c r="L844" i="1"/>
  <c r="M843" i="1"/>
  <c r="O843" i="1" s="1"/>
  <c r="L843" i="1"/>
  <c r="M842" i="1"/>
  <c r="O842" i="1" s="1"/>
  <c r="L842" i="1"/>
  <c r="M841" i="1"/>
  <c r="O841" i="1" s="1"/>
  <c r="L841" i="1"/>
  <c r="M840" i="1"/>
  <c r="O840" i="1" s="1"/>
  <c r="L840" i="1"/>
  <c r="M839" i="1"/>
  <c r="O839" i="1" s="1"/>
  <c r="L839" i="1"/>
  <c r="M838" i="1"/>
  <c r="O838" i="1" s="1"/>
  <c r="L838" i="1"/>
  <c r="M837" i="1"/>
  <c r="O837" i="1" s="1"/>
  <c r="L837" i="1"/>
  <c r="M836" i="1"/>
  <c r="O836" i="1" s="1"/>
  <c r="L836" i="1"/>
  <c r="M835" i="1"/>
  <c r="O835" i="1" s="1"/>
  <c r="L835" i="1"/>
  <c r="M834" i="1"/>
  <c r="O834" i="1" s="1"/>
  <c r="L834" i="1"/>
  <c r="M833" i="1"/>
  <c r="O833" i="1" s="1"/>
  <c r="L833" i="1"/>
  <c r="M832" i="1"/>
  <c r="O832" i="1" s="1"/>
  <c r="L832" i="1"/>
  <c r="M831" i="1"/>
  <c r="O831" i="1" s="1"/>
  <c r="L831" i="1"/>
  <c r="M830" i="1"/>
  <c r="O830" i="1" s="1"/>
  <c r="L830" i="1"/>
  <c r="M829" i="1"/>
  <c r="O829" i="1" s="1"/>
  <c r="L829" i="1"/>
  <c r="M828" i="1"/>
  <c r="O828" i="1" s="1"/>
  <c r="L828" i="1"/>
  <c r="M827" i="1"/>
  <c r="O827" i="1" s="1"/>
  <c r="L827" i="1"/>
  <c r="M826" i="1"/>
  <c r="O826" i="1" s="1"/>
  <c r="L826" i="1"/>
  <c r="M825" i="1"/>
  <c r="O825" i="1" s="1"/>
  <c r="L825" i="1"/>
  <c r="M824" i="1"/>
  <c r="O824" i="1" s="1"/>
  <c r="L824" i="1"/>
  <c r="M823" i="1"/>
  <c r="O823" i="1" s="1"/>
  <c r="L823" i="1"/>
  <c r="M822" i="1"/>
  <c r="O822" i="1" s="1"/>
  <c r="L822" i="1"/>
  <c r="M821" i="1"/>
  <c r="O821" i="1" s="1"/>
  <c r="L821" i="1"/>
  <c r="M820" i="1"/>
  <c r="O820" i="1" s="1"/>
  <c r="L820" i="1"/>
  <c r="M819" i="1"/>
  <c r="O819" i="1" s="1"/>
  <c r="L819" i="1"/>
  <c r="M818" i="1"/>
  <c r="O818" i="1" s="1"/>
  <c r="L818" i="1"/>
  <c r="M817" i="1"/>
  <c r="O817" i="1" s="1"/>
  <c r="L817" i="1"/>
  <c r="M816" i="1"/>
  <c r="O816" i="1" s="1"/>
  <c r="L816" i="1"/>
  <c r="M815" i="1"/>
  <c r="O815" i="1" s="1"/>
  <c r="L815" i="1"/>
  <c r="M814" i="1"/>
  <c r="O814" i="1" s="1"/>
  <c r="L814" i="1"/>
  <c r="M813" i="1"/>
  <c r="O813" i="1" s="1"/>
  <c r="L813" i="1"/>
  <c r="M812" i="1"/>
  <c r="O812" i="1" s="1"/>
  <c r="L812" i="1"/>
  <c r="M811" i="1"/>
  <c r="O811" i="1" s="1"/>
  <c r="L811" i="1"/>
  <c r="M810" i="1"/>
  <c r="O810" i="1" s="1"/>
  <c r="L810" i="1"/>
  <c r="M809" i="1"/>
  <c r="O809" i="1" s="1"/>
  <c r="L809" i="1"/>
  <c r="M808" i="1"/>
  <c r="O808" i="1" s="1"/>
  <c r="L808" i="1"/>
  <c r="M807" i="1"/>
  <c r="O807" i="1" s="1"/>
  <c r="L807" i="1"/>
  <c r="M806" i="1"/>
  <c r="O806" i="1" s="1"/>
  <c r="L806" i="1"/>
  <c r="M805" i="1"/>
  <c r="O805" i="1" s="1"/>
  <c r="L805" i="1"/>
  <c r="M804" i="1"/>
  <c r="O804" i="1" s="1"/>
  <c r="L804" i="1"/>
  <c r="M803" i="1"/>
  <c r="O803" i="1" s="1"/>
  <c r="L803" i="1"/>
  <c r="M802" i="1"/>
  <c r="O802" i="1" s="1"/>
  <c r="L802" i="1"/>
  <c r="M801" i="1"/>
  <c r="O801" i="1" s="1"/>
  <c r="L801" i="1"/>
  <c r="M800" i="1"/>
  <c r="O800" i="1" s="1"/>
  <c r="L800" i="1"/>
  <c r="M799" i="1"/>
  <c r="O799" i="1" s="1"/>
  <c r="L799" i="1"/>
  <c r="M798" i="1"/>
  <c r="O798" i="1" s="1"/>
  <c r="L798" i="1"/>
  <c r="M797" i="1"/>
  <c r="O797" i="1" s="1"/>
  <c r="L797" i="1"/>
  <c r="M796" i="1"/>
  <c r="O796" i="1" s="1"/>
  <c r="L796" i="1"/>
  <c r="M795" i="1"/>
  <c r="O795" i="1" s="1"/>
  <c r="L795" i="1"/>
  <c r="M794" i="1"/>
  <c r="O794" i="1" s="1"/>
  <c r="L794" i="1"/>
  <c r="M793" i="1"/>
  <c r="O793" i="1" s="1"/>
  <c r="L793" i="1"/>
  <c r="M792" i="1"/>
  <c r="O792" i="1" s="1"/>
  <c r="L792" i="1"/>
  <c r="M791" i="1"/>
  <c r="O791" i="1" s="1"/>
  <c r="L791" i="1"/>
  <c r="M790" i="1"/>
  <c r="O790" i="1" s="1"/>
  <c r="L790" i="1"/>
  <c r="M789" i="1"/>
  <c r="O789" i="1" s="1"/>
  <c r="L789" i="1"/>
  <c r="M788" i="1"/>
  <c r="O788" i="1" s="1"/>
  <c r="L788" i="1"/>
  <c r="M787" i="1"/>
  <c r="O787" i="1" s="1"/>
  <c r="L787" i="1"/>
  <c r="M786" i="1"/>
  <c r="O786" i="1" s="1"/>
  <c r="L786" i="1"/>
  <c r="M785" i="1"/>
  <c r="O785" i="1" s="1"/>
  <c r="L785" i="1"/>
  <c r="M784" i="1"/>
  <c r="O784" i="1" s="1"/>
  <c r="L784" i="1"/>
  <c r="M783" i="1"/>
  <c r="O783" i="1" s="1"/>
  <c r="L783" i="1"/>
  <c r="M782" i="1"/>
  <c r="O782" i="1" s="1"/>
  <c r="L782" i="1"/>
  <c r="M781" i="1"/>
  <c r="O781" i="1" s="1"/>
  <c r="L781" i="1"/>
  <c r="M780" i="1"/>
  <c r="O780" i="1" s="1"/>
  <c r="L780" i="1"/>
  <c r="M779" i="1"/>
  <c r="O779" i="1" s="1"/>
  <c r="L779" i="1"/>
  <c r="M778" i="1"/>
  <c r="O778" i="1" s="1"/>
  <c r="L778" i="1"/>
  <c r="M777" i="1"/>
  <c r="O777" i="1" s="1"/>
  <c r="L777" i="1"/>
  <c r="M776" i="1"/>
  <c r="O776" i="1" s="1"/>
  <c r="L776" i="1"/>
  <c r="M775" i="1"/>
  <c r="O775" i="1" s="1"/>
  <c r="L775" i="1"/>
  <c r="M774" i="1"/>
  <c r="O774" i="1" s="1"/>
  <c r="L774" i="1"/>
  <c r="M773" i="1"/>
  <c r="O773" i="1" s="1"/>
  <c r="L773" i="1"/>
  <c r="M772" i="1"/>
  <c r="O772" i="1" s="1"/>
  <c r="L772" i="1"/>
  <c r="M771" i="1"/>
  <c r="O771" i="1" s="1"/>
  <c r="L771" i="1"/>
  <c r="M770" i="1"/>
  <c r="O770" i="1" s="1"/>
  <c r="L770" i="1"/>
  <c r="M769" i="1"/>
  <c r="O769" i="1" s="1"/>
  <c r="L769" i="1"/>
  <c r="M768" i="1"/>
  <c r="O768" i="1" s="1"/>
  <c r="L768" i="1"/>
  <c r="O767" i="1"/>
  <c r="M767" i="1"/>
  <c r="L767" i="1"/>
  <c r="M766" i="1"/>
  <c r="O766" i="1" s="1"/>
  <c r="L766" i="1"/>
  <c r="M765" i="1"/>
  <c r="O765" i="1" s="1"/>
  <c r="L765" i="1"/>
  <c r="M764" i="1"/>
  <c r="O764" i="1" s="1"/>
  <c r="L764" i="1"/>
  <c r="M763" i="1"/>
  <c r="O763" i="1" s="1"/>
  <c r="L763" i="1"/>
  <c r="M762" i="1"/>
  <c r="O762" i="1" s="1"/>
  <c r="L762" i="1"/>
  <c r="M761" i="1"/>
  <c r="O761" i="1" s="1"/>
  <c r="L761" i="1"/>
  <c r="M760" i="1"/>
  <c r="O760" i="1" s="1"/>
  <c r="L760" i="1"/>
  <c r="M759" i="1"/>
  <c r="O759" i="1" s="1"/>
  <c r="L759" i="1"/>
  <c r="M758" i="1"/>
  <c r="O758" i="1" s="1"/>
  <c r="L758" i="1"/>
  <c r="M757" i="1"/>
  <c r="O757" i="1" s="1"/>
  <c r="L757" i="1"/>
  <c r="M756" i="1"/>
  <c r="O756" i="1" s="1"/>
  <c r="L756" i="1"/>
  <c r="M755" i="1"/>
  <c r="O755" i="1" s="1"/>
  <c r="L755" i="1"/>
  <c r="M754" i="1"/>
  <c r="O754" i="1" s="1"/>
  <c r="L754" i="1"/>
  <c r="M753" i="1"/>
  <c r="O753" i="1" s="1"/>
  <c r="L753" i="1"/>
  <c r="M752" i="1"/>
  <c r="O752" i="1" s="1"/>
  <c r="L752" i="1"/>
  <c r="M751" i="1"/>
  <c r="O751" i="1" s="1"/>
  <c r="L751" i="1"/>
  <c r="M750" i="1"/>
  <c r="O750" i="1" s="1"/>
  <c r="L750" i="1"/>
  <c r="M749" i="1"/>
  <c r="O749" i="1" s="1"/>
  <c r="L749" i="1"/>
  <c r="M748" i="1"/>
  <c r="O748" i="1" s="1"/>
  <c r="L748" i="1"/>
  <c r="M747" i="1"/>
  <c r="O747" i="1" s="1"/>
  <c r="L747" i="1"/>
  <c r="M746" i="1"/>
  <c r="O746" i="1" s="1"/>
  <c r="L746" i="1"/>
  <c r="M745" i="1"/>
  <c r="O745" i="1" s="1"/>
  <c r="L745" i="1"/>
  <c r="M744" i="1"/>
  <c r="O744" i="1" s="1"/>
  <c r="L744" i="1"/>
  <c r="M743" i="1"/>
  <c r="O743" i="1" s="1"/>
  <c r="L743" i="1"/>
  <c r="M742" i="1"/>
  <c r="O742" i="1" s="1"/>
  <c r="L742" i="1"/>
  <c r="M741" i="1"/>
  <c r="O741" i="1" s="1"/>
  <c r="L741" i="1"/>
  <c r="M740" i="1"/>
  <c r="O740" i="1" s="1"/>
  <c r="L740" i="1"/>
  <c r="M739" i="1"/>
  <c r="O739" i="1" s="1"/>
  <c r="L739" i="1"/>
  <c r="M738" i="1"/>
  <c r="O738" i="1" s="1"/>
  <c r="L738" i="1"/>
  <c r="M737" i="1"/>
  <c r="O737" i="1" s="1"/>
  <c r="L737" i="1"/>
  <c r="M736" i="1"/>
  <c r="O736" i="1" s="1"/>
  <c r="L736" i="1"/>
  <c r="M735" i="1"/>
  <c r="O735" i="1" s="1"/>
  <c r="L735" i="1"/>
  <c r="M734" i="1"/>
  <c r="O734" i="1" s="1"/>
  <c r="L734" i="1"/>
  <c r="M733" i="1"/>
  <c r="O733" i="1" s="1"/>
  <c r="L733" i="1"/>
  <c r="M732" i="1"/>
  <c r="O732" i="1" s="1"/>
  <c r="L732" i="1"/>
  <c r="M731" i="1"/>
  <c r="O731" i="1" s="1"/>
  <c r="L731" i="1"/>
  <c r="M730" i="1"/>
  <c r="O730" i="1" s="1"/>
  <c r="L730" i="1"/>
  <c r="M729" i="1"/>
  <c r="O729" i="1" s="1"/>
  <c r="L729" i="1"/>
  <c r="M728" i="1"/>
  <c r="O728" i="1" s="1"/>
  <c r="L728" i="1"/>
  <c r="M727" i="1"/>
  <c r="O727" i="1" s="1"/>
  <c r="L727" i="1"/>
  <c r="M726" i="1"/>
  <c r="O726" i="1" s="1"/>
  <c r="L726" i="1"/>
  <c r="M725" i="1"/>
  <c r="O725" i="1" s="1"/>
  <c r="L725" i="1"/>
  <c r="M724" i="1"/>
  <c r="O724" i="1" s="1"/>
  <c r="L724" i="1"/>
  <c r="M723" i="1"/>
  <c r="O723" i="1" s="1"/>
  <c r="L723" i="1"/>
  <c r="M722" i="1"/>
  <c r="O722" i="1" s="1"/>
  <c r="L722" i="1"/>
  <c r="M721" i="1"/>
  <c r="O721" i="1" s="1"/>
  <c r="L721" i="1"/>
  <c r="M720" i="1"/>
  <c r="O720" i="1" s="1"/>
  <c r="L720" i="1"/>
  <c r="M719" i="1"/>
  <c r="O719" i="1" s="1"/>
  <c r="L719" i="1"/>
  <c r="M718" i="1"/>
  <c r="O718" i="1" s="1"/>
  <c r="L718" i="1"/>
  <c r="M717" i="1"/>
  <c r="O717" i="1" s="1"/>
  <c r="L717" i="1"/>
  <c r="M716" i="1"/>
  <c r="O716" i="1" s="1"/>
  <c r="L716" i="1"/>
  <c r="M715" i="1"/>
  <c r="O715" i="1" s="1"/>
  <c r="L715" i="1"/>
  <c r="M714" i="1"/>
  <c r="O714" i="1" s="1"/>
  <c r="L714" i="1"/>
  <c r="M713" i="1"/>
  <c r="O713" i="1" s="1"/>
  <c r="L713" i="1"/>
  <c r="M712" i="1"/>
  <c r="O712" i="1" s="1"/>
  <c r="L712" i="1"/>
  <c r="M711" i="1"/>
  <c r="O711" i="1" s="1"/>
  <c r="L711" i="1"/>
  <c r="M710" i="1"/>
  <c r="O710" i="1" s="1"/>
  <c r="L710" i="1"/>
  <c r="M709" i="1"/>
  <c r="O709" i="1" s="1"/>
  <c r="L709" i="1"/>
  <c r="M708" i="1"/>
  <c r="O708" i="1" s="1"/>
  <c r="L708" i="1"/>
  <c r="M707" i="1"/>
  <c r="O707" i="1" s="1"/>
  <c r="L707" i="1"/>
  <c r="M706" i="1"/>
  <c r="O706" i="1" s="1"/>
  <c r="L706" i="1"/>
  <c r="M705" i="1"/>
  <c r="O705" i="1" s="1"/>
  <c r="L705" i="1"/>
  <c r="M704" i="1"/>
  <c r="O704" i="1" s="1"/>
  <c r="L704" i="1"/>
  <c r="M703" i="1"/>
  <c r="O703" i="1" s="1"/>
  <c r="L703" i="1"/>
  <c r="M702" i="1"/>
  <c r="O702" i="1" s="1"/>
  <c r="L702" i="1"/>
  <c r="M701" i="1"/>
  <c r="O701" i="1" s="1"/>
  <c r="L701" i="1"/>
  <c r="M700" i="1"/>
  <c r="O700" i="1" s="1"/>
  <c r="L700" i="1"/>
  <c r="M699" i="1"/>
  <c r="O699" i="1" s="1"/>
  <c r="L699" i="1"/>
  <c r="M698" i="1"/>
  <c r="O698" i="1" s="1"/>
  <c r="L698" i="1"/>
  <c r="M697" i="1"/>
  <c r="O697" i="1" s="1"/>
  <c r="L697" i="1"/>
  <c r="M696" i="1"/>
  <c r="O696" i="1" s="1"/>
  <c r="L696" i="1"/>
  <c r="M695" i="1"/>
  <c r="O695" i="1" s="1"/>
  <c r="L695" i="1"/>
  <c r="M694" i="1"/>
  <c r="O694" i="1" s="1"/>
  <c r="L694" i="1"/>
  <c r="M693" i="1"/>
  <c r="O693" i="1" s="1"/>
  <c r="L693" i="1"/>
  <c r="M692" i="1"/>
  <c r="O692" i="1" s="1"/>
  <c r="L692" i="1"/>
  <c r="M691" i="1"/>
  <c r="O691" i="1" s="1"/>
  <c r="L691" i="1"/>
  <c r="M690" i="1"/>
  <c r="O690" i="1" s="1"/>
  <c r="L690" i="1"/>
  <c r="M689" i="1"/>
  <c r="O689" i="1" s="1"/>
  <c r="L689" i="1"/>
  <c r="M688" i="1"/>
  <c r="O688" i="1" s="1"/>
  <c r="L688" i="1"/>
  <c r="M687" i="1"/>
  <c r="O687" i="1" s="1"/>
  <c r="L687" i="1"/>
  <c r="M686" i="1"/>
  <c r="O686" i="1" s="1"/>
  <c r="L686" i="1"/>
  <c r="M685" i="1"/>
  <c r="O685" i="1" s="1"/>
  <c r="L685" i="1"/>
  <c r="M684" i="1"/>
  <c r="O684" i="1" s="1"/>
  <c r="L684" i="1"/>
  <c r="M683" i="1"/>
  <c r="O683" i="1" s="1"/>
  <c r="L683" i="1"/>
  <c r="M682" i="1"/>
  <c r="O682" i="1" s="1"/>
  <c r="L682" i="1"/>
  <c r="M681" i="1"/>
  <c r="O681" i="1" s="1"/>
  <c r="L681" i="1"/>
  <c r="M680" i="1"/>
  <c r="O680" i="1" s="1"/>
  <c r="L680" i="1"/>
  <c r="M679" i="1"/>
  <c r="O679" i="1" s="1"/>
  <c r="L679" i="1"/>
  <c r="M678" i="1"/>
  <c r="O678" i="1" s="1"/>
  <c r="L678" i="1"/>
  <c r="M677" i="1"/>
  <c r="O677" i="1" s="1"/>
  <c r="L677" i="1"/>
  <c r="M676" i="1"/>
  <c r="O676" i="1" s="1"/>
  <c r="L676" i="1"/>
  <c r="M675" i="1"/>
  <c r="O675" i="1" s="1"/>
  <c r="L675" i="1"/>
  <c r="M674" i="1"/>
  <c r="O674" i="1" s="1"/>
  <c r="L674" i="1"/>
  <c r="M673" i="1"/>
  <c r="O673" i="1" s="1"/>
  <c r="L673" i="1"/>
  <c r="M672" i="1"/>
  <c r="O672" i="1" s="1"/>
  <c r="L672" i="1"/>
  <c r="M671" i="1"/>
  <c r="O671" i="1" s="1"/>
  <c r="L671" i="1"/>
  <c r="M670" i="1"/>
  <c r="O670" i="1" s="1"/>
  <c r="L670" i="1"/>
  <c r="M669" i="1"/>
  <c r="O669" i="1" s="1"/>
  <c r="L669" i="1"/>
  <c r="M668" i="1"/>
  <c r="O668" i="1" s="1"/>
  <c r="L668" i="1"/>
  <c r="M667" i="1"/>
  <c r="O667" i="1" s="1"/>
  <c r="L667" i="1"/>
  <c r="M666" i="1"/>
  <c r="O666" i="1" s="1"/>
  <c r="L666" i="1"/>
  <c r="M665" i="1"/>
  <c r="O665" i="1" s="1"/>
  <c r="L665" i="1"/>
  <c r="M664" i="1"/>
  <c r="O664" i="1" s="1"/>
  <c r="L664" i="1"/>
  <c r="M663" i="1"/>
  <c r="O663" i="1" s="1"/>
  <c r="L663" i="1"/>
  <c r="M662" i="1"/>
  <c r="O662" i="1" s="1"/>
  <c r="L662" i="1"/>
  <c r="M661" i="1"/>
  <c r="O661" i="1" s="1"/>
  <c r="L661" i="1"/>
  <c r="M660" i="1"/>
  <c r="O660" i="1" s="1"/>
  <c r="L660" i="1"/>
  <c r="M659" i="1"/>
  <c r="O659" i="1" s="1"/>
  <c r="L659" i="1"/>
  <c r="M658" i="1"/>
  <c r="O658" i="1" s="1"/>
  <c r="L658" i="1"/>
  <c r="M657" i="1"/>
  <c r="O657" i="1" s="1"/>
  <c r="L657" i="1"/>
  <c r="M656" i="1"/>
  <c r="O656" i="1" s="1"/>
  <c r="L656" i="1"/>
  <c r="M655" i="1"/>
  <c r="O655" i="1" s="1"/>
  <c r="L655" i="1"/>
  <c r="M654" i="1"/>
  <c r="O654" i="1" s="1"/>
  <c r="L654" i="1"/>
  <c r="M653" i="1"/>
  <c r="O653" i="1" s="1"/>
  <c r="L653" i="1"/>
  <c r="M652" i="1"/>
  <c r="O652" i="1" s="1"/>
  <c r="L652" i="1"/>
  <c r="M651" i="1"/>
  <c r="O651" i="1" s="1"/>
  <c r="L651" i="1"/>
  <c r="M650" i="1"/>
  <c r="O650" i="1" s="1"/>
  <c r="L650" i="1"/>
  <c r="M649" i="1"/>
  <c r="O649" i="1" s="1"/>
  <c r="L649" i="1"/>
  <c r="M648" i="1"/>
  <c r="O648" i="1" s="1"/>
  <c r="L648" i="1"/>
  <c r="M647" i="1"/>
  <c r="O647" i="1" s="1"/>
  <c r="L647" i="1"/>
  <c r="M646" i="1"/>
  <c r="O646" i="1" s="1"/>
  <c r="L646" i="1"/>
  <c r="M645" i="1"/>
  <c r="O645" i="1" s="1"/>
  <c r="L645" i="1"/>
  <c r="M644" i="1"/>
  <c r="O644" i="1" s="1"/>
  <c r="L644" i="1"/>
  <c r="M643" i="1"/>
  <c r="O643" i="1" s="1"/>
  <c r="L643" i="1"/>
  <c r="M642" i="1"/>
  <c r="O642" i="1" s="1"/>
  <c r="L642" i="1"/>
  <c r="M641" i="1"/>
  <c r="O641" i="1" s="1"/>
  <c r="L641" i="1"/>
  <c r="M640" i="1"/>
  <c r="O640" i="1" s="1"/>
  <c r="L640" i="1"/>
  <c r="M639" i="1"/>
  <c r="O639" i="1" s="1"/>
  <c r="L639" i="1"/>
  <c r="M638" i="1"/>
  <c r="O638" i="1" s="1"/>
  <c r="L638" i="1"/>
  <c r="M637" i="1"/>
  <c r="O637" i="1" s="1"/>
  <c r="L637" i="1"/>
  <c r="M636" i="1"/>
  <c r="O636" i="1" s="1"/>
  <c r="L636" i="1"/>
  <c r="M635" i="1"/>
  <c r="O635" i="1" s="1"/>
  <c r="L635" i="1"/>
  <c r="M634" i="1"/>
  <c r="O634" i="1" s="1"/>
  <c r="L634" i="1"/>
  <c r="M633" i="1"/>
  <c r="O633" i="1" s="1"/>
  <c r="L633" i="1"/>
  <c r="M632" i="1"/>
  <c r="O632" i="1" s="1"/>
  <c r="L632" i="1"/>
  <c r="M631" i="1"/>
  <c r="O631" i="1" s="1"/>
  <c r="L631" i="1"/>
  <c r="M630" i="1"/>
  <c r="O630" i="1" s="1"/>
  <c r="L630" i="1"/>
  <c r="M629" i="1"/>
  <c r="O629" i="1" s="1"/>
  <c r="L629" i="1"/>
  <c r="M628" i="1"/>
  <c r="O628" i="1" s="1"/>
  <c r="L628" i="1"/>
  <c r="M627" i="1"/>
  <c r="O627" i="1" s="1"/>
  <c r="L627" i="1"/>
  <c r="M626" i="1"/>
  <c r="O626" i="1" s="1"/>
  <c r="L626" i="1"/>
  <c r="M625" i="1"/>
  <c r="O625" i="1" s="1"/>
  <c r="L625" i="1"/>
  <c r="M624" i="1"/>
  <c r="O624" i="1" s="1"/>
  <c r="L624" i="1"/>
  <c r="M623" i="1"/>
  <c r="O623" i="1" s="1"/>
  <c r="L623" i="1"/>
  <c r="M622" i="1"/>
  <c r="O622" i="1" s="1"/>
  <c r="L622" i="1"/>
  <c r="M621" i="1"/>
  <c r="O621" i="1" s="1"/>
  <c r="L621" i="1"/>
  <c r="M620" i="1"/>
  <c r="O620" i="1" s="1"/>
  <c r="L620" i="1"/>
  <c r="M619" i="1"/>
  <c r="O619" i="1" s="1"/>
  <c r="L619" i="1"/>
  <c r="M618" i="1"/>
  <c r="O618" i="1" s="1"/>
  <c r="L618" i="1"/>
  <c r="M617" i="1"/>
  <c r="O617" i="1" s="1"/>
  <c r="L617" i="1"/>
  <c r="M616" i="1"/>
  <c r="O616" i="1" s="1"/>
  <c r="L616" i="1"/>
  <c r="M615" i="1"/>
  <c r="O615" i="1" s="1"/>
  <c r="L615" i="1"/>
  <c r="O614" i="1"/>
  <c r="M614" i="1"/>
  <c r="L614" i="1"/>
  <c r="M613" i="1"/>
  <c r="O613" i="1" s="1"/>
  <c r="L613" i="1"/>
  <c r="M612" i="1"/>
  <c r="O612" i="1" s="1"/>
  <c r="L612" i="1"/>
  <c r="M611" i="1"/>
  <c r="O611" i="1" s="1"/>
  <c r="L611" i="1"/>
  <c r="M610" i="1"/>
  <c r="O610" i="1" s="1"/>
  <c r="L610" i="1"/>
  <c r="M609" i="1"/>
  <c r="O609" i="1" s="1"/>
  <c r="L609" i="1"/>
  <c r="M608" i="1"/>
  <c r="O608" i="1" s="1"/>
  <c r="L608" i="1"/>
  <c r="M607" i="1"/>
  <c r="O607" i="1" s="1"/>
  <c r="L607" i="1"/>
  <c r="M606" i="1"/>
  <c r="O606" i="1" s="1"/>
  <c r="L606" i="1"/>
  <c r="M605" i="1"/>
  <c r="O605" i="1" s="1"/>
  <c r="L605" i="1"/>
  <c r="M604" i="1"/>
  <c r="O604" i="1" s="1"/>
  <c r="L604" i="1"/>
  <c r="M603" i="1"/>
  <c r="O603" i="1" s="1"/>
  <c r="L603" i="1"/>
  <c r="M602" i="1"/>
  <c r="O602" i="1" s="1"/>
  <c r="L602" i="1"/>
  <c r="M601" i="1"/>
  <c r="O601" i="1" s="1"/>
  <c r="L601" i="1"/>
  <c r="M600" i="1"/>
  <c r="O600" i="1" s="1"/>
  <c r="L600" i="1"/>
  <c r="M599" i="1"/>
  <c r="O599" i="1" s="1"/>
  <c r="L599" i="1"/>
  <c r="M598" i="1"/>
  <c r="O598" i="1" s="1"/>
  <c r="L598" i="1"/>
  <c r="M597" i="1"/>
  <c r="O597" i="1" s="1"/>
  <c r="L597" i="1"/>
  <c r="M596" i="1"/>
  <c r="O596" i="1" s="1"/>
  <c r="L596" i="1"/>
  <c r="M595" i="1"/>
  <c r="O595" i="1" s="1"/>
  <c r="L595" i="1"/>
  <c r="M594" i="1"/>
  <c r="O594" i="1" s="1"/>
  <c r="L594" i="1"/>
  <c r="M593" i="1"/>
  <c r="O593" i="1" s="1"/>
  <c r="L593" i="1"/>
  <c r="M592" i="1"/>
  <c r="O592" i="1" s="1"/>
  <c r="L592" i="1"/>
  <c r="M591" i="1"/>
  <c r="O591" i="1" s="1"/>
  <c r="L591" i="1"/>
  <c r="M590" i="1"/>
  <c r="O590" i="1" s="1"/>
  <c r="L590" i="1"/>
  <c r="M589" i="1"/>
  <c r="O589" i="1" s="1"/>
  <c r="L589" i="1"/>
  <c r="M588" i="1"/>
  <c r="O588" i="1" s="1"/>
  <c r="L588" i="1"/>
  <c r="M587" i="1"/>
  <c r="O587" i="1" s="1"/>
  <c r="L587" i="1"/>
  <c r="M586" i="1"/>
  <c r="O586" i="1" s="1"/>
  <c r="L586" i="1"/>
  <c r="M585" i="1"/>
  <c r="O585" i="1" s="1"/>
  <c r="L585" i="1"/>
  <c r="M584" i="1"/>
  <c r="O584" i="1" s="1"/>
  <c r="L584" i="1"/>
  <c r="M583" i="1"/>
  <c r="O583" i="1" s="1"/>
  <c r="L583" i="1"/>
  <c r="M582" i="1"/>
  <c r="O582" i="1" s="1"/>
  <c r="L582" i="1"/>
  <c r="M581" i="1"/>
  <c r="O581" i="1" s="1"/>
  <c r="L581" i="1"/>
  <c r="M580" i="1"/>
  <c r="O580" i="1" s="1"/>
  <c r="L580" i="1"/>
  <c r="M579" i="1"/>
  <c r="O579" i="1" s="1"/>
  <c r="L579" i="1"/>
  <c r="M578" i="1"/>
  <c r="O578" i="1" s="1"/>
  <c r="L578" i="1"/>
  <c r="M577" i="1"/>
  <c r="O577" i="1" s="1"/>
  <c r="L577" i="1"/>
  <c r="M576" i="1"/>
  <c r="O576" i="1" s="1"/>
  <c r="L576" i="1"/>
  <c r="M575" i="1"/>
  <c r="O575" i="1" s="1"/>
  <c r="L575" i="1"/>
  <c r="M574" i="1"/>
  <c r="O574" i="1" s="1"/>
  <c r="L574" i="1"/>
  <c r="M573" i="1"/>
  <c r="O573" i="1" s="1"/>
  <c r="L573" i="1"/>
  <c r="M572" i="1"/>
  <c r="O572" i="1" s="1"/>
  <c r="L572" i="1"/>
  <c r="M571" i="1"/>
  <c r="O571" i="1" s="1"/>
  <c r="L571" i="1"/>
  <c r="M570" i="1"/>
  <c r="O570" i="1" s="1"/>
  <c r="L570" i="1"/>
  <c r="M569" i="1"/>
  <c r="O569" i="1" s="1"/>
  <c r="L569" i="1"/>
  <c r="M568" i="1"/>
  <c r="O568" i="1" s="1"/>
  <c r="L568" i="1"/>
  <c r="M567" i="1"/>
  <c r="O567" i="1" s="1"/>
  <c r="L567" i="1"/>
  <c r="M566" i="1"/>
  <c r="O566" i="1" s="1"/>
  <c r="L566" i="1"/>
  <c r="M565" i="1"/>
  <c r="O565" i="1" s="1"/>
  <c r="L565" i="1"/>
  <c r="M564" i="1"/>
  <c r="O564" i="1" s="1"/>
  <c r="L564" i="1"/>
  <c r="M563" i="1"/>
  <c r="O563" i="1" s="1"/>
  <c r="L563" i="1"/>
  <c r="M562" i="1"/>
  <c r="O562" i="1" s="1"/>
  <c r="L562" i="1"/>
  <c r="M561" i="1"/>
  <c r="O561" i="1" s="1"/>
  <c r="L561" i="1"/>
  <c r="M560" i="1"/>
  <c r="O560" i="1" s="1"/>
  <c r="L560" i="1"/>
  <c r="M559" i="1"/>
  <c r="O559" i="1" s="1"/>
  <c r="L559" i="1"/>
  <c r="M558" i="1"/>
  <c r="O558" i="1" s="1"/>
  <c r="L558" i="1"/>
  <c r="M557" i="1"/>
  <c r="O557" i="1" s="1"/>
  <c r="L557" i="1"/>
  <c r="M556" i="1"/>
  <c r="O556" i="1" s="1"/>
  <c r="L556" i="1"/>
  <c r="M555" i="1"/>
  <c r="O555" i="1" s="1"/>
  <c r="L555" i="1"/>
  <c r="M554" i="1"/>
  <c r="O554" i="1" s="1"/>
  <c r="L554" i="1"/>
  <c r="M553" i="1"/>
  <c r="O553" i="1" s="1"/>
  <c r="L553" i="1"/>
  <c r="M552" i="1"/>
  <c r="O552" i="1" s="1"/>
  <c r="L552" i="1"/>
  <c r="M551" i="1"/>
  <c r="O551" i="1" s="1"/>
  <c r="L551" i="1"/>
  <c r="M550" i="1"/>
  <c r="O550" i="1" s="1"/>
  <c r="L550" i="1"/>
  <c r="M549" i="1"/>
  <c r="O549" i="1" s="1"/>
  <c r="L549" i="1"/>
  <c r="M548" i="1"/>
  <c r="O548" i="1" s="1"/>
  <c r="L548" i="1"/>
  <c r="M547" i="1"/>
  <c r="O547" i="1" s="1"/>
  <c r="L547" i="1"/>
  <c r="M546" i="1"/>
  <c r="O546" i="1" s="1"/>
  <c r="L546" i="1"/>
  <c r="M545" i="1"/>
  <c r="O545" i="1" s="1"/>
  <c r="L545" i="1"/>
  <c r="M544" i="1"/>
  <c r="O544" i="1" s="1"/>
  <c r="L544" i="1"/>
  <c r="M543" i="1"/>
  <c r="O543" i="1" s="1"/>
  <c r="L543" i="1"/>
  <c r="M542" i="1"/>
  <c r="O542" i="1" s="1"/>
  <c r="L542" i="1"/>
  <c r="M541" i="1"/>
  <c r="O541" i="1" s="1"/>
  <c r="L541" i="1"/>
  <c r="M540" i="1"/>
  <c r="O540" i="1" s="1"/>
  <c r="L540" i="1"/>
  <c r="M539" i="1"/>
  <c r="O539" i="1" s="1"/>
  <c r="L539" i="1"/>
  <c r="M538" i="1"/>
  <c r="O538" i="1" s="1"/>
  <c r="L538" i="1"/>
  <c r="M537" i="1"/>
  <c r="O537" i="1" s="1"/>
  <c r="L537" i="1"/>
  <c r="M536" i="1"/>
  <c r="O536" i="1" s="1"/>
  <c r="L536" i="1"/>
  <c r="M535" i="1"/>
  <c r="O535" i="1" s="1"/>
  <c r="L535" i="1"/>
  <c r="M534" i="1"/>
  <c r="O534" i="1" s="1"/>
  <c r="L534" i="1"/>
  <c r="M533" i="1"/>
  <c r="O533" i="1" s="1"/>
  <c r="L533" i="1"/>
  <c r="M532" i="1"/>
  <c r="O532" i="1" s="1"/>
  <c r="L532" i="1"/>
  <c r="M531" i="1"/>
  <c r="O531" i="1" s="1"/>
  <c r="L531" i="1"/>
  <c r="M530" i="1"/>
  <c r="O530" i="1" s="1"/>
  <c r="L530" i="1"/>
  <c r="M529" i="1"/>
  <c r="O529" i="1" s="1"/>
  <c r="L529" i="1"/>
  <c r="M528" i="1"/>
  <c r="O528" i="1" s="1"/>
  <c r="L528" i="1"/>
  <c r="M527" i="1"/>
  <c r="O527" i="1" s="1"/>
  <c r="L527" i="1"/>
  <c r="M526" i="1"/>
  <c r="O526" i="1" s="1"/>
  <c r="L526" i="1"/>
  <c r="M525" i="1"/>
  <c r="O525" i="1" s="1"/>
  <c r="L525" i="1"/>
  <c r="M524" i="1"/>
  <c r="O524" i="1" s="1"/>
  <c r="L524" i="1"/>
  <c r="M523" i="1"/>
  <c r="O523" i="1" s="1"/>
  <c r="L523" i="1"/>
  <c r="M522" i="1"/>
  <c r="O522" i="1" s="1"/>
  <c r="L522" i="1"/>
  <c r="M521" i="1"/>
  <c r="O521" i="1" s="1"/>
  <c r="L521" i="1"/>
  <c r="M520" i="1"/>
  <c r="O520" i="1" s="1"/>
  <c r="L520" i="1"/>
  <c r="M519" i="1"/>
  <c r="O519" i="1" s="1"/>
  <c r="L519" i="1"/>
  <c r="M518" i="1"/>
  <c r="O518" i="1" s="1"/>
  <c r="L518" i="1"/>
  <c r="M517" i="1"/>
  <c r="O517" i="1" s="1"/>
  <c r="L517" i="1"/>
  <c r="M516" i="1"/>
  <c r="O516" i="1" s="1"/>
  <c r="L516" i="1"/>
  <c r="M515" i="1"/>
  <c r="O515" i="1" s="1"/>
  <c r="L515" i="1"/>
  <c r="M514" i="1"/>
  <c r="O514" i="1" s="1"/>
  <c r="L514" i="1"/>
  <c r="M513" i="1"/>
  <c r="O513" i="1" s="1"/>
  <c r="L513" i="1"/>
  <c r="M512" i="1"/>
  <c r="O512" i="1" s="1"/>
  <c r="L512" i="1"/>
  <c r="M511" i="1"/>
  <c r="O511" i="1" s="1"/>
  <c r="L511" i="1"/>
  <c r="M510" i="1"/>
  <c r="O510" i="1" s="1"/>
  <c r="L510" i="1"/>
  <c r="M509" i="1"/>
  <c r="O509" i="1" s="1"/>
  <c r="L509" i="1"/>
  <c r="M508" i="1"/>
  <c r="O508" i="1" s="1"/>
  <c r="L508" i="1"/>
  <c r="M507" i="1"/>
  <c r="O507" i="1" s="1"/>
  <c r="L507" i="1"/>
  <c r="M506" i="1"/>
  <c r="O506" i="1" s="1"/>
  <c r="L506" i="1"/>
  <c r="M505" i="1"/>
  <c r="O505" i="1" s="1"/>
  <c r="L505" i="1"/>
  <c r="M504" i="1"/>
  <c r="O504" i="1" s="1"/>
  <c r="L504" i="1"/>
  <c r="M503" i="1"/>
  <c r="O503" i="1" s="1"/>
  <c r="L503" i="1"/>
  <c r="M502" i="1"/>
  <c r="O502" i="1" s="1"/>
  <c r="L502" i="1"/>
  <c r="M501" i="1"/>
  <c r="O501" i="1" s="1"/>
  <c r="L501" i="1"/>
  <c r="M500" i="1"/>
  <c r="O500" i="1" s="1"/>
  <c r="L500" i="1"/>
  <c r="M499" i="1"/>
  <c r="O499" i="1" s="1"/>
  <c r="L499" i="1"/>
  <c r="M498" i="1"/>
  <c r="O498" i="1" s="1"/>
  <c r="L498" i="1"/>
  <c r="M497" i="1"/>
  <c r="O497" i="1" s="1"/>
  <c r="L497" i="1"/>
  <c r="M496" i="1"/>
  <c r="O496" i="1" s="1"/>
  <c r="L496" i="1"/>
  <c r="M495" i="1"/>
  <c r="O495" i="1" s="1"/>
  <c r="L495" i="1"/>
  <c r="M494" i="1"/>
  <c r="O494" i="1" s="1"/>
  <c r="L494" i="1"/>
  <c r="M493" i="1"/>
  <c r="O493" i="1" s="1"/>
  <c r="L493" i="1"/>
  <c r="M492" i="1"/>
  <c r="O492" i="1" s="1"/>
  <c r="L492" i="1"/>
  <c r="M491" i="1"/>
  <c r="O491" i="1" s="1"/>
  <c r="L491" i="1"/>
  <c r="M490" i="1"/>
  <c r="O490" i="1" s="1"/>
  <c r="L490" i="1"/>
  <c r="M489" i="1"/>
  <c r="O489" i="1" s="1"/>
  <c r="L489" i="1"/>
  <c r="M488" i="1"/>
  <c r="O488" i="1" s="1"/>
  <c r="L488" i="1"/>
  <c r="M487" i="1"/>
  <c r="O487" i="1" s="1"/>
  <c r="L487" i="1"/>
  <c r="M486" i="1"/>
  <c r="O486" i="1" s="1"/>
  <c r="L486" i="1"/>
  <c r="M485" i="1"/>
  <c r="O485" i="1" s="1"/>
  <c r="L485" i="1"/>
  <c r="M484" i="1"/>
  <c r="O484" i="1" s="1"/>
  <c r="L484" i="1"/>
  <c r="M483" i="1"/>
  <c r="O483" i="1" s="1"/>
  <c r="L483" i="1"/>
  <c r="M482" i="1"/>
  <c r="O482" i="1" s="1"/>
  <c r="L482" i="1"/>
  <c r="M481" i="1"/>
  <c r="O481" i="1" s="1"/>
  <c r="L481" i="1"/>
  <c r="M480" i="1"/>
  <c r="O480" i="1" s="1"/>
  <c r="L480" i="1"/>
  <c r="M479" i="1"/>
  <c r="O479" i="1" s="1"/>
  <c r="L479" i="1"/>
  <c r="M478" i="1"/>
  <c r="O478" i="1" s="1"/>
  <c r="L478" i="1"/>
  <c r="M477" i="1"/>
  <c r="O477" i="1" s="1"/>
  <c r="L477" i="1"/>
  <c r="M476" i="1"/>
  <c r="O476" i="1" s="1"/>
  <c r="L476" i="1"/>
  <c r="M475" i="1"/>
  <c r="O475" i="1" s="1"/>
  <c r="L475" i="1"/>
  <c r="M474" i="1"/>
  <c r="O474" i="1" s="1"/>
  <c r="L474" i="1"/>
  <c r="M473" i="1"/>
  <c r="O473" i="1" s="1"/>
  <c r="L473" i="1"/>
  <c r="M472" i="1"/>
  <c r="O472" i="1" s="1"/>
  <c r="L472" i="1"/>
  <c r="M471" i="1"/>
  <c r="O471" i="1" s="1"/>
  <c r="L471" i="1"/>
  <c r="M470" i="1"/>
  <c r="O470" i="1" s="1"/>
  <c r="L470" i="1"/>
  <c r="M469" i="1"/>
  <c r="O469" i="1" s="1"/>
  <c r="L469" i="1"/>
  <c r="M468" i="1"/>
  <c r="O468" i="1" s="1"/>
  <c r="L468" i="1"/>
  <c r="M467" i="1"/>
  <c r="O467" i="1" s="1"/>
  <c r="L467" i="1"/>
  <c r="M466" i="1"/>
  <c r="O466" i="1" s="1"/>
  <c r="L466" i="1"/>
  <c r="M465" i="1"/>
  <c r="O465" i="1" s="1"/>
  <c r="L465" i="1"/>
  <c r="M464" i="1"/>
  <c r="O464" i="1" s="1"/>
  <c r="L464" i="1"/>
  <c r="M463" i="1"/>
  <c r="O463" i="1" s="1"/>
  <c r="L463" i="1"/>
  <c r="M462" i="1"/>
  <c r="O462" i="1" s="1"/>
  <c r="L462" i="1"/>
  <c r="O461" i="1"/>
  <c r="M461" i="1"/>
  <c r="L461" i="1"/>
  <c r="M460" i="1"/>
  <c r="O460" i="1" s="1"/>
  <c r="L460" i="1"/>
  <c r="M459" i="1"/>
  <c r="O459" i="1" s="1"/>
  <c r="L459" i="1"/>
  <c r="M458" i="1"/>
  <c r="O458" i="1" s="1"/>
  <c r="L458" i="1"/>
  <c r="M457" i="1"/>
  <c r="O457" i="1" s="1"/>
  <c r="L457" i="1"/>
  <c r="M456" i="1"/>
  <c r="O456" i="1" s="1"/>
  <c r="L456" i="1"/>
  <c r="M455" i="1"/>
  <c r="O455" i="1" s="1"/>
  <c r="L455" i="1"/>
  <c r="M454" i="1"/>
  <c r="O454" i="1" s="1"/>
  <c r="L454" i="1"/>
  <c r="M453" i="1"/>
  <c r="O453" i="1" s="1"/>
  <c r="L453" i="1"/>
  <c r="M452" i="1"/>
  <c r="O452" i="1" s="1"/>
  <c r="L452" i="1"/>
  <c r="M451" i="1"/>
  <c r="O451" i="1" s="1"/>
  <c r="L451" i="1"/>
  <c r="M450" i="1"/>
  <c r="O450" i="1" s="1"/>
  <c r="L450" i="1"/>
  <c r="M449" i="1"/>
  <c r="O449" i="1" s="1"/>
  <c r="L449" i="1"/>
  <c r="M448" i="1"/>
  <c r="O448" i="1" s="1"/>
  <c r="L448" i="1"/>
  <c r="M447" i="1"/>
  <c r="O447" i="1" s="1"/>
  <c r="L447" i="1"/>
  <c r="M446" i="1"/>
  <c r="O446" i="1" s="1"/>
  <c r="L446" i="1"/>
  <c r="M445" i="1"/>
  <c r="O445" i="1" s="1"/>
  <c r="L445" i="1"/>
  <c r="M444" i="1"/>
  <c r="O444" i="1" s="1"/>
  <c r="L444" i="1"/>
  <c r="M443" i="1"/>
  <c r="O443" i="1" s="1"/>
  <c r="L443" i="1"/>
  <c r="M442" i="1"/>
  <c r="O442" i="1" s="1"/>
  <c r="L442" i="1"/>
  <c r="M441" i="1"/>
  <c r="O441" i="1" s="1"/>
  <c r="L441" i="1"/>
  <c r="M440" i="1"/>
  <c r="O440" i="1" s="1"/>
  <c r="L440" i="1"/>
  <c r="M439" i="1"/>
  <c r="O439" i="1" s="1"/>
  <c r="L439" i="1"/>
  <c r="M438" i="1"/>
  <c r="O438" i="1" s="1"/>
  <c r="L438" i="1"/>
  <c r="M437" i="1"/>
  <c r="O437" i="1" s="1"/>
  <c r="L437" i="1"/>
  <c r="M436" i="1"/>
  <c r="O436" i="1" s="1"/>
  <c r="L436" i="1"/>
  <c r="M435" i="1"/>
  <c r="O435" i="1" s="1"/>
  <c r="L435" i="1"/>
  <c r="M434" i="1"/>
  <c r="O434" i="1" s="1"/>
  <c r="L434" i="1"/>
  <c r="M433" i="1"/>
  <c r="O433" i="1" s="1"/>
  <c r="L433" i="1"/>
  <c r="M432" i="1"/>
  <c r="O432" i="1" s="1"/>
  <c r="L432" i="1"/>
  <c r="M431" i="1"/>
  <c r="O431" i="1" s="1"/>
  <c r="L431" i="1"/>
  <c r="M430" i="1"/>
  <c r="O430" i="1" s="1"/>
  <c r="L430" i="1"/>
  <c r="M429" i="1"/>
  <c r="O429" i="1" s="1"/>
  <c r="L429" i="1"/>
  <c r="M428" i="1"/>
  <c r="O428" i="1" s="1"/>
  <c r="L428" i="1"/>
  <c r="M427" i="1"/>
  <c r="O427" i="1" s="1"/>
  <c r="L427" i="1"/>
  <c r="M426" i="1"/>
  <c r="O426" i="1" s="1"/>
  <c r="L426" i="1"/>
  <c r="M425" i="1"/>
  <c r="O425" i="1" s="1"/>
  <c r="L425" i="1"/>
  <c r="M424" i="1"/>
  <c r="O424" i="1" s="1"/>
  <c r="L424" i="1"/>
  <c r="M423" i="1"/>
  <c r="O423" i="1" s="1"/>
  <c r="L423" i="1"/>
  <c r="M422" i="1"/>
  <c r="O422" i="1" s="1"/>
  <c r="L422" i="1"/>
  <c r="M421" i="1"/>
  <c r="O421" i="1" s="1"/>
  <c r="L421" i="1"/>
  <c r="M420" i="1"/>
  <c r="O420" i="1" s="1"/>
  <c r="L420" i="1"/>
  <c r="M419" i="1"/>
  <c r="O419" i="1" s="1"/>
  <c r="L419" i="1"/>
  <c r="M418" i="1"/>
  <c r="O418" i="1" s="1"/>
  <c r="L418" i="1"/>
  <c r="M417" i="1"/>
  <c r="O417" i="1" s="1"/>
  <c r="L417" i="1"/>
  <c r="M416" i="1"/>
  <c r="O416" i="1" s="1"/>
  <c r="L416" i="1"/>
  <c r="M415" i="1"/>
  <c r="O415" i="1" s="1"/>
  <c r="L415" i="1"/>
  <c r="M414" i="1"/>
  <c r="O414" i="1" s="1"/>
  <c r="L414" i="1"/>
  <c r="M413" i="1"/>
  <c r="O413" i="1" s="1"/>
  <c r="L413" i="1"/>
  <c r="M412" i="1"/>
  <c r="O412" i="1" s="1"/>
  <c r="L412" i="1"/>
  <c r="M411" i="1"/>
  <c r="O411" i="1" s="1"/>
  <c r="L411" i="1"/>
  <c r="M410" i="1"/>
  <c r="O410" i="1" s="1"/>
  <c r="L410" i="1"/>
  <c r="M409" i="1"/>
  <c r="O409" i="1" s="1"/>
  <c r="L409" i="1"/>
  <c r="M408" i="1"/>
  <c r="O408" i="1" s="1"/>
  <c r="L408" i="1"/>
  <c r="M407" i="1"/>
  <c r="O407" i="1" s="1"/>
  <c r="L407" i="1"/>
  <c r="M406" i="1"/>
  <c r="O406" i="1" s="1"/>
  <c r="L406" i="1"/>
  <c r="M405" i="1"/>
  <c r="O405" i="1" s="1"/>
  <c r="L405" i="1"/>
  <c r="M404" i="1"/>
  <c r="O404" i="1" s="1"/>
  <c r="L404" i="1"/>
  <c r="M403" i="1"/>
  <c r="O403" i="1" s="1"/>
  <c r="L403" i="1"/>
  <c r="M402" i="1"/>
  <c r="O402" i="1" s="1"/>
  <c r="L402" i="1"/>
  <c r="M401" i="1"/>
  <c r="O401" i="1" s="1"/>
  <c r="L401" i="1"/>
  <c r="M400" i="1"/>
  <c r="O400" i="1" s="1"/>
  <c r="L400" i="1"/>
  <c r="M399" i="1"/>
  <c r="O399" i="1" s="1"/>
  <c r="L399" i="1"/>
  <c r="M398" i="1"/>
  <c r="O398" i="1" s="1"/>
  <c r="L398" i="1"/>
  <c r="M397" i="1"/>
  <c r="O397" i="1" s="1"/>
  <c r="L397" i="1"/>
  <c r="M396" i="1"/>
  <c r="O396" i="1" s="1"/>
  <c r="L396" i="1"/>
  <c r="M395" i="1"/>
  <c r="O395" i="1" s="1"/>
  <c r="L395" i="1"/>
  <c r="M394" i="1"/>
  <c r="O394" i="1" s="1"/>
  <c r="L394" i="1"/>
  <c r="M393" i="1"/>
  <c r="O393" i="1" s="1"/>
  <c r="L393" i="1"/>
  <c r="M392" i="1"/>
  <c r="O392" i="1" s="1"/>
  <c r="L392" i="1"/>
  <c r="M391" i="1"/>
  <c r="O391" i="1" s="1"/>
  <c r="L391" i="1"/>
  <c r="M390" i="1"/>
  <c r="O390" i="1" s="1"/>
  <c r="L390" i="1"/>
  <c r="M389" i="1"/>
  <c r="O389" i="1" s="1"/>
  <c r="L389" i="1"/>
  <c r="M388" i="1"/>
  <c r="O388" i="1" s="1"/>
  <c r="L388" i="1"/>
  <c r="M387" i="1"/>
  <c r="O387" i="1" s="1"/>
  <c r="L387" i="1"/>
  <c r="M386" i="1"/>
  <c r="O386" i="1" s="1"/>
  <c r="L386" i="1"/>
  <c r="M385" i="1"/>
  <c r="O385" i="1" s="1"/>
  <c r="L385" i="1"/>
  <c r="M384" i="1"/>
  <c r="O384" i="1" s="1"/>
  <c r="L384" i="1"/>
  <c r="M383" i="1"/>
  <c r="O383" i="1" s="1"/>
  <c r="L383" i="1"/>
  <c r="M382" i="1"/>
  <c r="O382" i="1" s="1"/>
  <c r="L382" i="1"/>
  <c r="M381" i="1"/>
  <c r="O381" i="1" s="1"/>
  <c r="L381" i="1"/>
  <c r="M380" i="1"/>
  <c r="O380" i="1" s="1"/>
  <c r="L380" i="1"/>
  <c r="M379" i="1"/>
  <c r="O379" i="1" s="1"/>
  <c r="L379" i="1"/>
  <c r="M378" i="1"/>
  <c r="O378" i="1" s="1"/>
  <c r="L378" i="1"/>
  <c r="M377" i="1"/>
  <c r="O377" i="1" s="1"/>
  <c r="L377" i="1"/>
  <c r="M376" i="1"/>
  <c r="O376" i="1" s="1"/>
  <c r="L376" i="1"/>
  <c r="M375" i="1"/>
  <c r="O375" i="1" s="1"/>
  <c r="L375" i="1"/>
  <c r="M374" i="1"/>
  <c r="O374" i="1" s="1"/>
  <c r="L374" i="1"/>
  <c r="M373" i="1"/>
  <c r="O373" i="1" s="1"/>
  <c r="L373" i="1"/>
  <c r="M372" i="1"/>
  <c r="O372" i="1" s="1"/>
  <c r="L372" i="1"/>
  <c r="M371" i="1"/>
  <c r="O371" i="1" s="1"/>
  <c r="L371" i="1"/>
  <c r="M370" i="1"/>
  <c r="O370" i="1" s="1"/>
  <c r="L370" i="1"/>
  <c r="M369" i="1"/>
  <c r="O369" i="1" s="1"/>
  <c r="L369" i="1"/>
  <c r="M368" i="1"/>
  <c r="O368" i="1" s="1"/>
  <c r="L368" i="1"/>
  <c r="M367" i="1"/>
  <c r="O367" i="1" s="1"/>
  <c r="L367" i="1"/>
  <c r="M366" i="1"/>
  <c r="O366" i="1" s="1"/>
  <c r="L366" i="1"/>
  <c r="M365" i="1"/>
  <c r="O365" i="1" s="1"/>
  <c r="L365" i="1"/>
  <c r="M364" i="1"/>
  <c r="O364" i="1" s="1"/>
  <c r="L364" i="1"/>
  <c r="M363" i="1"/>
  <c r="O363" i="1" s="1"/>
  <c r="L363" i="1"/>
  <c r="M362" i="1"/>
  <c r="O362" i="1" s="1"/>
  <c r="L362" i="1"/>
  <c r="M361" i="1"/>
  <c r="O361" i="1" s="1"/>
  <c r="L361" i="1"/>
  <c r="M360" i="1"/>
  <c r="O360" i="1" s="1"/>
  <c r="L360" i="1"/>
  <c r="M359" i="1"/>
  <c r="O359" i="1" s="1"/>
  <c r="L359" i="1"/>
  <c r="M358" i="1"/>
  <c r="O358" i="1" s="1"/>
  <c r="L358" i="1"/>
  <c r="M357" i="1"/>
  <c r="O357" i="1" s="1"/>
  <c r="L357" i="1"/>
  <c r="M356" i="1"/>
  <c r="O356" i="1" s="1"/>
  <c r="L356" i="1"/>
  <c r="M355" i="1"/>
  <c r="O355" i="1" s="1"/>
  <c r="L355" i="1"/>
  <c r="M354" i="1"/>
  <c r="O354" i="1" s="1"/>
  <c r="L354" i="1"/>
  <c r="M353" i="1"/>
  <c r="O353" i="1" s="1"/>
  <c r="L353" i="1"/>
  <c r="M352" i="1"/>
  <c r="O352" i="1" s="1"/>
  <c r="L352" i="1"/>
  <c r="M351" i="1"/>
  <c r="O351" i="1" s="1"/>
  <c r="L351" i="1"/>
  <c r="M350" i="1"/>
  <c r="O350" i="1" s="1"/>
  <c r="L350" i="1"/>
  <c r="M349" i="1"/>
  <c r="O349" i="1" s="1"/>
  <c r="L349" i="1"/>
  <c r="M348" i="1"/>
  <c r="O348" i="1" s="1"/>
  <c r="L348" i="1"/>
  <c r="M347" i="1"/>
  <c r="O347" i="1" s="1"/>
  <c r="L347" i="1"/>
  <c r="M346" i="1"/>
  <c r="O346" i="1" s="1"/>
  <c r="L346" i="1"/>
  <c r="M345" i="1"/>
  <c r="O345" i="1" s="1"/>
  <c r="L345" i="1"/>
  <c r="M344" i="1"/>
  <c r="O344" i="1" s="1"/>
  <c r="L344" i="1"/>
  <c r="M343" i="1"/>
  <c r="O343" i="1" s="1"/>
  <c r="L343" i="1"/>
  <c r="M342" i="1"/>
  <c r="O342" i="1" s="1"/>
  <c r="L342" i="1"/>
  <c r="M341" i="1"/>
  <c r="O341" i="1" s="1"/>
  <c r="L341" i="1"/>
  <c r="M340" i="1"/>
  <c r="O340" i="1" s="1"/>
  <c r="L340" i="1"/>
  <c r="M339" i="1"/>
  <c r="O339" i="1" s="1"/>
  <c r="L339" i="1"/>
  <c r="M338" i="1"/>
  <c r="O338" i="1" s="1"/>
  <c r="L338" i="1"/>
  <c r="M337" i="1"/>
  <c r="O337" i="1" s="1"/>
  <c r="L337" i="1"/>
  <c r="M336" i="1"/>
  <c r="O336" i="1" s="1"/>
  <c r="L336" i="1"/>
  <c r="M335" i="1"/>
  <c r="O335" i="1" s="1"/>
  <c r="L335" i="1"/>
  <c r="M334" i="1"/>
  <c r="O334" i="1" s="1"/>
  <c r="L334" i="1"/>
  <c r="M333" i="1"/>
  <c r="O333" i="1" s="1"/>
  <c r="L333" i="1"/>
  <c r="M332" i="1"/>
  <c r="O332" i="1" s="1"/>
  <c r="L332" i="1"/>
  <c r="M331" i="1"/>
  <c r="O331" i="1" s="1"/>
  <c r="L331" i="1"/>
  <c r="M330" i="1"/>
  <c r="O330" i="1" s="1"/>
  <c r="L330" i="1"/>
  <c r="M329" i="1"/>
  <c r="O329" i="1" s="1"/>
  <c r="L329" i="1"/>
  <c r="M328" i="1"/>
  <c r="O328" i="1" s="1"/>
  <c r="L328" i="1"/>
  <c r="M327" i="1"/>
  <c r="O327" i="1" s="1"/>
  <c r="L327" i="1"/>
  <c r="M326" i="1"/>
  <c r="O326" i="1" s="1"/>
  <c r="L326" i="1"/>
  <c r="M325" i="1"/>
  <c r="O325" i="1" s="1"/>
  <c r="L325" i="1"/>
  <c r="M324" i="1"/>
  <c r="O324" i="1" s="1"/>
  <c r="L324" i="1"/>
  <c r="M323" i="1"/>
  <c r="O323" i="1" s="1"/>
  <c r="L323" i="1"/>
  <c r="M322" i="1"/>
  <c r="O322" i="1" s="1"/>
  <c r="L322" i="1"/>
  <c r="M321" i="1"/>
  <c r="O321" i="1" s="1"/>
  <c r="L321" i="1"/>
  <c r="M320" i="1"/>
  <c r="O320" i="1" s="1"/>
  <c r="L320" i="1"/>
  <c r="M319" i="1"/>
  <c r="O319" i="1" s="1"/>
  <c r="L319" i="1"/>
  <c r="M318" i="1"/>
  <c r="O318" i="1" s="1"/>
  <c r="L318" i="1"/>
  <c r="M317" i="1"/>
  <c r="O317" i="1" s="1"/>
  <c r="L317" i="1"/>
  <c r="M316" i="1"/>
  <c r="O316" i="1" s="1"/>
  <c r="L316" i="1"/>
  <c r="M315" i="1"/>
  <c r="O315" i="1" s="1"/>
  <c r="L315" i="1"/>
  <c r="M314" i="1"/>
  <c r="O314" i="1" s="1"/>
  <c r="L314" i="1"/>
  <c r="M313" i="1"/>
  <c r="O313" i="1" s="1"/>
  <c r="L313" i="1"/>
  <c r="M312" i="1"/>
  <c r="O312" i="1" s="1"/>
  <c r="L312" i="1"/>
  <c r="M311" i="1"/>
  <c r="O311" i="1" s="1"/>
  <c r="L311" i="1"/>
  <c r="M310" i="1"/>
  <c r="O310" i="1" s="1"/>
  <c r="L310" i="1"/>
  <c r="M309" i="1"/>
  <c r="O309" i="1" s="1"/>
  <c r="L309" i="1"/>
  <c r="M308" i="1"/>
  <c r="O308" i="1" s="1"/>
  <c r="L308" i="1"/>
  <c r="M307" i="1"/>
  <c r="O307" i="1" s="1"/>
  <c r="L307" i="1"/>
  <c r="M306" i="1"/>
  <c r="O306" i="1" s="1"/>
  <c r="L306" i="1"/>
  <c r="M305" i="1"/>
  <c r="O305" i="1" s="1"/>
  <c r="L305" i="1"/>
  <c r="M304" i="1"/>
  <c r="O304" i="1" s="1"/>
  <c r="L304" i="1"/>
  <c r="M303" i="1"/>
  <c r="O303" i="1" s="1"/>
  <c r="L303" i="1"/>
  <c r="M302" i="1"/>
  <c r="O302" i="1" s="1"/>
  <c r="L302" i="1"/>
  <c r="M301" i="1"/>
  <c r="O301" i="1" s="1"/>
  <c r="L301" i="1"/>
  <c r="M300" i="1"/>
  <c r="O300" i="1" s="1"/>
  <c r="L300" i="1"/>
  <c r="M299" i="1"/>
  <c r="O299" i="1" s="1"/>
  <c r="L299" i="1"/>
  <c r="M298" i="1"/>
  <c r="O298" i="1" s="1"/>
  <c r="L298" i="1"/>
  <c r="M297" i="1"/>
  <c r="O297" i="1" s="1"/>
  <c r="L297" i="1"/>
  <c r="M296" i="1"/>
  <c r="O296" i="1" s="1"/>
  <c r="L296" i="1"/>
  <c r="M295" i="1"/>
  <c r="O295" i="1" s="1"/>
  <c r="L295" i="1"/>
  <c r="M294" i="1"/>
  <c r="O294" i="1" s="1"/>
  <c r="L294" i="1"/>
  <c r="M293" i="1"/>
  <c r="O293" i="1" s="1"/>
  <c r="L293" i="1"/>
  <c r="M292" i="1"/>
  <c r="O292" i="1" s="1"/>
  <c r="L292" i="1"/>
  <c r="M291" i="1"/>
  <c r="O291" i="1" s="1"/>
  <c r="L291" i="1"/>
  <c r="M290" i="1"/>
  <c r="O290" i="1" s="1"/>
  <c r="L290" i="1"/>
  <c r="M289" i="1"/>
  <c r="O289" i="1" s="1"/>
  <c r="L289" i="1"/>
  <c r="M288" i="1"/>
  <c r="O288" i="1" s="1"/>
  <c r="L288" i="1"/>
  <c r="M287" i="1"/>
  <c r="O287" i="1" s="1"/>
  <c r="L287" i="1"/>
  <c r="M286" i="1"/>
  <c r="O286" i="1" s="1"/>
  <c r="L286" i="1"/>
  <c r="M285" i="1"/>
  <c r="O285" i="1" s="1"/>
  <c r="L285" i="1"/>
  <c r="M284" i="1"/>
  <c r="O284" i="1" s="1"/>
  <c r="L284" i="1"/>
  <c r="M283" i="1"/>
  <c r="O283" i="1" s="1"/>
  <c r="L283" i="1"/>
  <c r="M282" i="1"/>
  <c r="O282" i="1" s="1"/>
  <c r="L282" i="1"/>
  <c r="M281" i="1"/>
  <c r="O281" i="1" s="1"/>
  <c r="L281" i="1"/>
  <c r="M280" i="1"/>
  <c r="O280" i="1" s="1"/>
  <c r="L280" i="1"/>
  <c r="M279" i="1"/>
  <c r="O279" i="1" s="1"/>
  <c r="L279" i="1"/>
  <c r="M278" i="1"/>
  <c r="O278" i="1" s="1"/>
  <c r="L278" i="1"/>
  <c r="M277" i="1"/>
  <c r="O277" i="1" s="1"/>
  <c r="L277" i="1"/>
  <c r="M276" i="1"/>
  <c r="O276" i="1" s="1"/>
  <c r="L276" i="1"/>
  <c r="M275" i="1"/>
  <c r="O275" i="1" s="1"/>
  <c r="L275" i="1"/>
  <c r="M274" i="1"/>
  <c r="O274" i="1" s="1"/>
  <c r="L274" i="1"/>
  <c r="M273" i="1"/>
  <c r="O273" i="1" s="1"/>
  <c r="L273" i="1"/>
  <c r="M272" i="1"/>
  <c r="O272" i="1" s="1"/>
  <c r="L272" i="1"/>
  <c r="M271" i="1"/>
  <c r="O271" i="1" s="1"/>
  <c r="L271" i="1"/>
  <c r="M270" i="1"/>
  <c r="O270" i="1" s="1"/>
  <c r="L270" i="1"/>
  <c r="M269" i="1"/>
  <c r="O269" i="1" s="1"/>
  <c r="L269" i="1"/>
  <c r="M268" i="1"/>
  <c r="O268" i="1" s="1"/>
  <c r="L268" i="1"/>
  <c r="M267" i="1"/>
  <c r="O267" i="1" s="1"/>
  <c r="L267" i="1"/>
  <c r="M266" i="1"/>
  <c r="O266" i="1" s="1"/>
  <c r="L266" i="1"/>
  <c r="M265" i="1"/>
  <c r="O265" i="1" s="1"/>
  <c r="L265" i="1"/>
  <c r="M264" i="1"/>
  <c r="O264" i="1" s="1"/>
  <c r="L264" i="1"/>
  <c r="M263" i="1"/>
  <c r="O263" i="1" s="1"/>
  <c r="L263" i="1"/>
  <c r="M262" i="1"/>
  <c r="O262" i="1" s="1"/>
  <c r="L262" i="1"/>
  <c r="M261" i="1"/>
  <c r="O261" i="1" s="1"/>
  <c r="L261" i="1"/>
  <c r="M260" i="1"/>
  <c r="O260" i="1" s="1"/>
  <c r="L260" i="1"/>
  <c r="M259" i="1"/>
  <c r="O259" i="1" s="1"/>
  <c r="L259" i="1"/>
  <c r="M258" i="1"/>
  <c r="O258" i="1" s="1"/>
  <c r="L258" i="1"/>
  <c r="M257" i="1"/>
  <c r="O257" i="1" s="1"/>
  <c r="L257" i="1"/>
  <c r="M256" i="1"/>
  <c r="O256" i="1" s="1"/>
  <c r="L256" i="1"/>
  <c r="M255" i="1"/>
  <c r="O255" i="1" s="1"/>
  <c r="L255" i="1"/>
  <c r="M254" i="1"/>
  <c r="O254" i="1" s="1"/>
  <c r="L254" i="1"/>
  <c r="M253" i="1"/>
  <c r="O253" i="1" s="1"/>
  <c r="L253" i="1"/>
  <c r="M252" i="1"/>
  <c r="O252" i="1" s="1"/>
  <c r="L252" i="1"/>
  <c r="M251" i="1"/>
  <c r="O251" i="1" s="1"/>
  <c r="L251" i="1"/>
  <c r="M250" i="1"/>
  <c r="O250" i="1" s="1"/>
  <c r="L250" i="1"/>
  <c r="M249" i="1"/>
  <c r="O249" i="1" s="1"/>
  <c r="L249" i="1"/>
  <c r="M248" i="1"/>
  <c r="O248" i="1" s="1"/>
  <c r="L248" i="1"/>
  <c r="M247" i="1"/>
  <c r="O247" i="1" s="1"/>
  <c r="L247" i="1"/>
  <c r="M246" i="1"/>
  <c r="O246" i="1" s="1"/>
  <c r="L246" i="1"/>
  <c r="M245" i="1"/>
  <c r="O245" i="1" s="1"/>
  <c r="L245" i="1"/>
  <c r="M244" i="1"/>
  <c r="O244" i="1" s="1"/>
  <c r="L244" i="1"/>
  <c r="M243" i="1"/>
  <c r="O243" i="1" s="1"/>
  <c r="L243" i="1"/>
  <c r="M242" i="1"/>
  <c r="O242" i="1" s="1"/>
  <c r="L242" i="1"/>
  <c r="M241" i="1"/>
  <c r="O241" i="1" s="1"/>
  <c r="L241" i="1"/>
  <c r="M240" i="1"/>
  <c r="O240" i="1" s="1"/>
  <c r="L240" i="1"/>
  <c r="M239" i="1"/>
  <c r="O239" i="1" s="1"/>
  <c r="L239" i="1"/>
  <c r="M238" i="1"/>
  <c r="O238" i="1" s="1"/>
  <c r="L238" i="1"/>
  <c r="M237" i="1"/>
  <c r="O237" i="1" s="1"/>
  <c r="L237" i="1"/>
  <c r="M236" i="1"/>
  <c r="O236" i="1" s="1"/>
  <c r="L236" i="1"/>
  <c r="M235" i="1"/>
  <c r="O235" i="1" s="1"/>
  <c r="L235" i="1"/>
  <c r="M234" i="1"/>
  <c r="O234" i="1" s="1"/>
  <c r="L234" i="1"/>
  <c r="M233" i="1"/>
  <c r="O233" i="1" s="1"/>
  <c r="L233" i="1"/>
  <c r="M232" i="1"/>
  <c r="O232" i="1" s="1"/>
  <c r="L232" i="1"/>
  <c r="M231" i="1"/>
  <c r="O231" i="1" s="1"/>
  <c r="L231" i="1"/>
  <c r="M230" i="1"/>
  <c r="O230" i="1" s="1"/>
  <c r="L230" i="1"/>
  <c r="M229" i="1"/>
  <c r="O229" i="1" s="1"/>
  <c r="L229" i="1"/>
  <c r="M228" i="1"/>
  <c r="O228" i="1" s="1"/>
  <c r="L228" i="1"/>
  <c r="M227" i="1"/>
  <c r="O227" i="1" s="1"/>
  <c r="L227" i="1"/>
  <c r="M226" i="1"/>
  <c r="O226" i="1" s="1"/>
  <c r="L226" i="1"/>
  <c r="M225" i="1"/>
  <c r="O225" i="1" s="1"/>
  <c r="L225" i="1"/>
  <c r="M224" i="1"/>
  <c r="O224" i="1" s="1"/>
  <c r="L224" i="1"/>
  <c r="M223" i="1"/>
  <c r="O223" i="1" s="1"/>
  <c r="L223" i="1"/>
  <c r="M222" i="1"/>
  <c r="O222" i="1" s="1"/>
  <c r="L222" i="1"/>
  <c r="M221" i="1"/>
  <c r="O221" i="1" s="1"/>
  <c r="L221" i="1"/>
  <c r="M220" i="1"/>
  <c r="O220" i="1" s="1"/>
  <c r="L220" i="1"/>
  <c r="M219" i="1"/>
  <c r="O219" i="1" s="1"/>
  <c r="L219" i="1"/>
  <c r="M218" i="1"/>
  <c r="O218" i="1" s="1"/>
  <c r="L218" i="1"/>
  <c r="M217" i="1"/>
  <c r="O217" i="1" s="1"/>
  <c r="L217" i="1"/>
  <c r="M216" i="1"/>
  <c r="O216" i="1" s="1"/>
  <c r="L216" i="1"/>
  <c r="M215" i="1"/>
  <c r="O215" i="1" s="1"/>
  <c r="L215" i="1"/>
  <c r="M214" i="1"/>
  <c r="O214" i="1" s="1"/>
  <c r="L214" i="1"/>
  <c r="M213" i="1"/>
  <c r="O213" i="1" s="1"/>
  <c r="L213" i="1"/>
  <c r="M212" i="1"/>
  <c r="O212" i="1" s="1"/>
  <c r="L212" i="1"/>
  <c r="M211" i="1"/>
  <c r="O211" i="1" s="1"/>
  <c r="L211" i="1"/>
  <c r="M210" i="1"/>
  <c r="O210" i="1" s="1"/>
  <c r="L210" i="1"/>
  <c r="M209" i="1"/>
  <c r="O209" i="1" s="1"/>
  <c r="L209" i="1"/>
  <c r="M208" i="1"/>
  <c r="O208" i="1" s="1"/>
  <c r="L208" i="1"/>
  <c r="M207" i="1"/>
  <c r="O207" i="1" s="1"/>
  <c r="L207" i="1"/>
  <c r="M206" i="1"/>
  <c r="O206" i="1" s="1"/>
  <c r="L206" i="1"/>
  <c r="M205" i="1"/>
  <c r="O205" i="1" s="1"/>
  <c r="L205" i="1"/>
  <c r="M204" i="1"/>
  <c r="O204" i="1" s="1"/>
  <c r="L204" i="1"/>
  <c r="M203" i="1"/>
  <c r="O203" i="1" s="1"/>
  <c r="L203" i="1"/>
  <c r="M202" i="1"/>
  <c r="O202" i="1" s="1"/>
  <c r="L202" i="1"/>
  <c r="M201" i="1"/>
  <c r="O201" i="1" s="1"/>
  <c r="L201" i="1"/>
  <c r="M200" i="1"/>
  <c r="O200" i="1" s="1"/>
  <c r="L200" i="1"/>
  <c r="M199" i="1"/>
  <c r="O199" i="1" s="1"/>
  <c r="L199" i="1"/>
  <c r="M198" i="1"/>
  <c r="O198" i="1" s="1"/>
  <c r="L198" i="1"/>
  <c r="M197" i="1"/>
  <c r="O197" i="1" s="1"/>
  <c r="L197" i="1"/>
  <c r="M196" i="1"/>
  <c r="O196" i="1" s="1"/>
  <c r="L196" i="1"/>
  <c r="M195" i="1"/>
  <c r="O195" i="1" s="1"/>
  <c r="L195" i="1"/>
  <c r="M194" i="1"/>
  <c r="O194" i="1" s="1"/>
  <c r="L194" i="1"/>
  <c r="M193" i="1"/>
  <c r="O193" i="1" s="1"/>
  <c r="L193" i="1"/>
  <c r="M192" i="1"/>
  <c r="O192" i="1" s="1"/>
  <c r="L192" i="1"/>
  <c r="M191" i="1"/>
  <c r="O191" i="1" s="1"/>
  <c r="L191" i="1"/>
  <c r="M190" i="1"/>
  <c r="O190" i="1" s="1"/>
  <c r="L190" i="1"/>
  <c r="M189" i="1"/>
  <c r="O189" i="1" s="1"/>
  <c r="L189" i="1"/>
  <c r="M188" i="1"/>
  <c r="O188" i="1" s="1"/>
  <c r="L188" i="1"/>
  <c r="M187" i="1"/>
  <c r="O187" i="1" s="1"/>
  <c r="L187" i="1"/>
  <c r="M186" i="1"/>
  <c r="O186" i="1" s="1"/>
  <c r="L186" i="1"/>
  <c r="M185" i="1"/>
  <c r="O185" i="1" s="1"/>
  <c r="L185" i="1"/>
  <c r="M184" i="1"/>
  <c r="O184" i="1" s="1"/>
  <c r="L184" i="1"/>
  <c r="M183" i="1"/>
  <c r="O183" i="1" s="1"/>
  <c r="L183" i="1"/>
  <c r="M182" i="1"/>
  <c r="O182" i="1" s="1"/>
  <c r="L182" i="1"/>
  <c r="M181" i="1"/>
  <c r="O181" i="1" s="1"/>
  <c r="L181" i="1"/>
  <c r="M180" i="1"/>
  <c r="O180" i="1" s="1"/>
  <c r="L180" i="1"/>
  <c r="M179" i="1"/>
  <c r="O179" i="1" s="1"/>
  <c r="L179" i="1"/>
  <c r="M178" i="1"/>
  <c r="O178" i="1" s="1"/>
  <c r="L178" i="1"/>
  <c r="M177" i="1"/>
  <c r="O177" i="1" s="1"/>
  <c r="L177" i="1"/>
  <c r="M176" i="1"/>
  <c r="O176" i="1" s="1"/>
  <c r="L176" i="1"/>
  <c r="M175" i="1"/>
  <c r="O175" i="1" s="1"/>
  <c r="L175" i="1"/>
  <c r="M174" i="1"/>
  <c r="O174" i="1" s="1"/>
  <c r="L174" i="1"/>
  <c r="M173" i="1"/>
  <c r="O173" i="1" s="1"/>
  <c r="L173" i="1"/>
  <c r="M172" i="1"/>
  <c r="O172" i="1" s="1"/>
  <c r="L172" i="1"/>
  <c r="M171" i="1"/>
  <c r="O171" i="1" s="1"/>
  <c r="L171" i="1"/>
  <c r="M170" i="1"/>
  <c r="O170" i="1" s="1"/>
  <c r="L170" i="1"/>
  <c r="M169" i="1"/>
  <c r="O169" i="1" s="1"/>
  <c r="L169" i="1"/>
  <c r="M168" i="1"/>
  <c r="O168" i="1" s="1"/>
  <c r="L168" i="1"/>
  <c r="M167" i="1"/>
  <c r="O167" i="1" s="1"/>
  <c r="L167" i="1"/>
  <c r="M166" i="1"/>
  <c r="O166" i="1" s="1"/>
  <c r="L166" i="1"/>
  <c r="M165" i="1"/>
  <c r="O165" i="1" s="1"/>
  <c r="L165" i="1"/>
  <c r="M164" i="1"/>
  <c r="O164" i="1" s="1"/>
  <c r="L164" i="1"/>
  <c r="M163" i="1"/>
  <c r="O163" i="1" s="1"/>
  <c r="L163" i="1"/>
  <c r="M162" i="1"/>
  <c r="O162" i="1" s="1"/>
  <c r="L162" i="1"/>
  <c r="M161" i="1"/>
  <c r="O161" i="1" s="1"/>
  <c r="L161" i="1"/>
  <c r="M160" i="1"/>
  <c r="O160" i="1" s="1"/>
  <c r="L160" i="1"/>
  <c r="M159" i="1"/>
  <c r="O159" i="1" s="1"/>
  <c r="L159" i="1"/>
  <c r="M158" i="1"/>
  <c r="O158" i="1" s="1"/>
  <c r="L158" i="1"/>
  <c r="M157" i="1"/>
  <c r="O157" i="1" s="1"/>
  <c r="L157" i="1"/>
  <c r="M156" i="1"/>
  <c r="O156" i="1" s="1"/>
  <c r="L156" i="1"/>
  <c r="M155" i="1"/>
  <c r="O155" i="1" s="1"/>
  <c r="L155" i="1"/>
  <c r="M154" i="1"/>
  <c r="O154" i="1" s="1"/>
  <c r="L154" i="1"/>
  <c r="M153" i="1"/>
  <c r="O153" i="1" s="1"/>
  <c r="L153" i="1"/>
  <c r="M152" i="1"/>
  <c r="O152" i="1" s="1"/>
  <c r="L152" i="1"/>
  <c r="M151" i="1"/>
  <c r="O151" i="1" s="1"/>
  <c r="L151" i="1"/>
  <c r="M150" i="1"/>
  <c r="O150" i="1" s="1"/>
  <c r="L150" i="1"/>
  <c r="M149" i="1"/>
  <c r="O149" i="1" s="1"/>
  <c r="L149" i="1"/>
  <c r="M148" i="1"/>
  <c r="O148" i="1" s="1"/>
  <c r="L148" i="1"/>
  <c r="M147" i="1"/>
  <c r="O147" i="1" s="1"/>
  <c r="L147" i="1"/>
  <c r="M146" i="1"/>
  <c r="O146" i="1" s="1"/>
  <c r="L146" i="1"/>
  <c r="M145" i="1"/>
  <c r="O145" i="1" s="1"/>
  <c r="L145" i="1"/>
  <c r="M144" i="1"/>
  <c r="O144" i="1" s="1"/>
  <c r="L144" i="1"/>
  <c r="M143" i="1"/>
  <c r="O143" i="1" s="1"/>
  <c r="L143" i="1"/>
  <c r="M142" i="1"/>
  <c r="O142" i="1" s="1"/>
  <c r="L142" i="1"/>
  <c r="M141" i="1"/>
  <c r="O141" i="1" s="1"/>
  <c r="L141" i="1"/>
  <c r="M140" i="1"/>
  <c r="O140" i="1" s="1"/>
  <c r="L140" i="1"/>
  <c r="M139" i="1"/>
  <c r="O139" i="1" s="1"/>
  <c r="L139" i="1"/>
  <c r="M138" i="1"/>
  <c r="O138" i="1" s="1"/>
  <c r="L138" i="1"/>
  <c r="M137" i="1"/>
  <c r="O137" i="1" s="1"/>
  <c r="L137" i="1"/>
  <c r="M136" i="1"/>
  <c r="O136" i="1" s="1"/>
  <c r="L136" i="1"/>
  <c r="M135" i="1"/>
  <c r="O135" i="1" s="1"/>
  <c r="L135" i="1"/>
  <c r="M134" i="1"/>
  <c r="O134" i="1" s="1"/>
  <c r="L134" i="1"/>
  <c r="M133" i="1"/>
  <c r="O133" i="1" s="1"/>
  <c r="L133" i="1"/>
  <c r="M132" i="1"/>
  <c r="O132" i="1" s="1"/>
  <c r="L132" i="1"/>
  <c r="M131" i="1"/>
  <c r="O131" i="1" s="1"/>
  <c r="L131" i="1"/>
  <c r="M130" i="1"/>
  <c r="O130" i="1" s="1"/>
  <c r="L130" i="1"/>
  <c r="M129" i="1"/>
  <c r="O129" i="1" s="1"/>
  <c r="L129" i="1"/>
  <c r="M128" i="1"/>
  <c r="O128" i="1" s="1"/>
  <c r="L128" i="1"/>
  <c r="M127" i="1"/>
  <c r="O127" i="1" s="1"/>
  <c r="L127" i="1"/>
  <c r="M126" i="1"/>
  <c r="O126" i="1" s="1"/>
  <c r="L126" i="1"/>
  <c r="M125" i="1"/>
  <c r="O125" i="1" s="1"/>
  <c r="L125" i="1"/>
  <c r="M124" i="1"/>
  <c r="O124" i="1" s="1"/>
  <c r="L124" i="1"/>
  <c r="M123" i="1"/>
  <c r="O123" i="1" s="1"/>
  <c r="L123" i="1"/>
  <c r="M122" i="1"/>
  <c r="O122" i="1" s="1"/>
  <c r="L122" i="1"/>
  <c r="M121" i="1"/>
  <c r="O121" i="1" s="1"/>
  <c r="L121" i="1"/>
  <c r="M120" i="1"/>
  <c r="O120" i="1" s="1"/>
  <c r="L120" i="1"/>
  <c r="M119" i="1"/>
  <c r="O119" i="1" s="1"/>
  <c r="L119" i="1"/>
  <c r="M118" i="1"/>
  <c r="O118" i="1" s="1"/>
  <c r="L118" i="1"/>
  <c r="M117" i="1"/>
  <c r="O117" i="1" s="1"/>
  <c r="L117" i="1"/>
  <c r="M116" i="1"/>
  <c r="O116" i="1" s="1"/>
  <c r="L116" i="1"/>
  <c r="M115" i="1"/>
  <c r="O115" i="1" s="1"/>
  <c r="L115" i="1"/>
  <c r="M114" i="1"/>
  <c r="O114" i="1" s="1"/>
  <c r="L114" i="1"/>
  <c r="M113" i="1"/>
  <c r="O113" i="1" s="1"/>
  <c r="L113" i="1"/>
  <c r="M112" i="1"/>
  <c r="O112" i="1" s="1"/>
  <c r="L112" i="1"/>
  <c r="M111" i="1"/>
  <c r="O111" i="1" s="1"/>
  <c r="L111" i="1"/>
  <c r="M110" i="1"/>
  <c r="O110" i="1" s="1"/>
  <c r="L110" i="1"/>
  <c r="M109" i="1"/>
  <c r="O109" i="1" s="1"/>
  <c r="L109" i="1"/>
  <c r="M108" i="1"/>
  <c r="O108" i="1" s="1"/>
  <c r="L108" i="1"/>
  <c r="M107" i="1"/>
  <c r="O107" i="1" s="1"/>
  <c r="L107" i="1"/>
  <c r="M106" i="1"/>
  <c r="O106" i="1" s="1"/>
  <c r="L106" i="1"/>
  <c r="M105" i="1"/>
  <c r="O105" i="1" s="1"/>
  <c r="L105" i="1"/>
  <c r="M104" i="1"/>
  <c r="O104" i="1" s="1"/>
  <c r="L104" i="1"/>
  <c r="M103" i="1"/>
  <c r="O103" i="1" s="1"/>
  <c r="L103" i="1"/>
  <c r="M102" i="1"/>
  <c r="O102" i="1" s="1"/>
  <c r="L102" i="1"/>
  <c r="M101" i="1"/>
  <c r="O101" i="1" s="1"/>
  <c r="L101" i="1"/>
  <c r="M100" i="1"/>
  <c r="O100" i="1" s="1"/>
  <c r="L100" i="1"/>
  <c r="M99" i="1"/>
  <c r="O99" i="1" s="1"/>
  <c r="L99" i="1"/>
  <c r="M98" i="1"/>
  <c r="O98" i="1" s="1"/>
  <c r="L98" i="1"/>
  <c r="M97" i="1"/>
  <c r="O97" i="1" s="1"/>
  <c r="L97" i="1"/>
  <c r="M96" i="1"/>
  <c r="O96" i="1" s="1"/>
  <c r="L96" i="1"/>
  <c r="M95" i="1"/>
  <c r="O95" i="1" s="1"/>
  <c r="L95" i="1"/>
  <c r="M94" i="1"/>
  <c r="O94" i="1" s="1"/>
  <c r="L94" i="1"/>
  <c r="M93" i="1"/>
  <c r="O93" i="1" s="1"/>
  <c r="L93" i="1"/>
  <c r="M92" i="1"/>
  <c r="O92" i="1" s="1"/>
  <c r="L92" i="1"/>
  <c r="M91" i="1"/>
  <c r="O91" i="1" s="1"/>
  <c r="L91" i="1"/>
  <c r="M90" i="1"/>
  <c r="O90" i="1" s="1"/>
  <c r="L90" i="1"/>
  <c r="M89" i="1"/>
  <c r="O89" i="1" s="1"/>
  <c r="L89" i="1"/>
  <c r="M88" i="1"/>
  <c r="O88" i="1" s="1"/>
  <c r="L88" i="1"/>
  <c r="M87" i="1"/>
  <c r="O87" i="1" s="1"/>
  <c r="L87" i="1"/>
  <c r="M86" i="1"/>
  <c r="O86" i="1" s="1"/>
  <c r="L86" i="1"/>
  <c r="M85" i="1"/>
  <c r="O85" i="1" s="1"/>
  <c r="L85" i="1"/>
  <c r="M84" i="1"/>
  <c r="O84" i="1" s="1"/>
  <c r="L84" i="1"/>
  <c r="M83" i="1"/>
  <c r="O83" i="1" s="1"/>
  <c r="L83" i="1"/>
  <c r="M82" i="1"/>
  <c r="O82" i="1" s="1"/>
  <c r="L82" i="1"/>
  <c r="M81" i="1"/>
  <c r="O81" i="1" s="1"/>
  <c r="L81" i="1"/>
  <c r="M80" i="1"/>
  <c r="O80" i="1" s="1"/>
  <c r="L80" i="1"/>
  <c r="M79" i="1"/>
  <c r="O79" i="1" s="1"/>
  <c r="L79" i="1"/>
  <c r="M78" i="1"/>
  <c r="O78" i="1" s="1"/>
  <c r="L78" i="1"/>
  <c r="M77" i="1"/>
  <c r="O77" i="1" s="1"/>
  <c r="L77" i="1"/>
  <c r="M76" i="1"/>
  <c r="O76" i="1" s="1"/>
  <c r="L76" i="1"/>
  <c r="M75" i="1"/>
  <c r="O75" i="1" s="1"/>
  <c r="L75" i="1"/>
  <c r="M74" i="1"/>
  <c r="O74" i="1" s="1"/>
  <c r="L74" i="1"/>
  <c r="M73" i="1"/>
  <c r="O73" i="1" s="1"/>
  <c r="L73" i="1"/>
  <c r="M72" i="1"/>
  <c r="O72" i="1" s="1"/>
  <c r="L72" i="1"/>
  <c r="M71" i="1"/>
  <c r="O71" i="1" s="1"/>
  <c r="L71" i="1"/>
  <c r="M70" i="1"/>
  <c r="O70" i="1" s="1"/>
  <c r="L70" i="1"/>
  <c r="M69" i="1"/>
  <c r="O69" i="1" s="1"/>
  <c r="L69" i="1"/>
  <c r="M68" i="1"/>
  <c r="O68" i="1" s="1"/>
  <c r="L68" i="1"/>
  <c r="M67" i="1"/>
  <c r="O67" i="1" s="1"/>
  <c r="L67" i="1"/>
  <c r="M66" i="1"/>
  <c r="O66" i="1" s="1"/>
  <c r="L66" i="1"/>
  <c r="M65" i="1"/>
  <c r="O65" i="1" s="1"/>
  <c r="L65" i="1"/>
  <c r="M64" i="1"/>
  <c r="O64" i="1" s="1"/>
  <c r="L64" i="1"/>
  <c r="M63" i="1"/>
  <c r="O63" i="1" s="1"/>
  <c r="L63" i="1"/>
  <c r="M62" i="1"/>
  <c r="O62" i="1" s="1"/>
  <c r="L62" i="1"/>
  <c r="M61" i="1"/>
  <c r="O61" i="1" s="1"/>
  <c r="L61" i="1"/>
  <c r="M60" i="1"/>
  <c r="O60" i="1" s="1"/>
  <c r="L60" i="1"/>
  <c r="M59" i="1"/>
  <c r="O59" i="1" s="1"/>
  <c r="L59" i="1"/>
  <c r="M58" i="1"/>
  <c r="O58" i="1" s="1"/>
  <c r="L58" i="1"/>
  <c r="M57" i="1"/>
  <c r="O57" i="1" s="1"/>
  <c r="L57" i="1"/>
  <c r="M56" i="1"/>
  <c r="O56" i="1" s="1"/>
  <c r="L56" i="1"/>
  <c r="M55" i="1"/>
  <c r="O55" i="1" s="1"/>
  <c r="L55" i="1"/>
  <c r="M54" i="1"/>
  <c r="O54" i="1" s="1"/>
  <c r="L54" i="1"/>
  <c r="M53" i="1"/>
  <c r="O53" i="1" s="1"/>
  <c r="L53" i="1"/>
  <c r="M52" i="1"/>
  <c r="O52" i="1" s="1"/>
  <c r="L52" i="1"/>
  <c r="M51" i="1"/>
  <c r="O51" i="1" s="1"/>
  <c r="L51" i="1"/>
  <c r="M50" i="1"/>
  <c r="O50" i="1" s="1"/>
  <c r="L50" i="1"/>
  <c r="M49" i="1"/>
  <c r="O49" i="1" s="1"/>
  <c r="L49" i="1"/>
  <c r="M48" i="1"/>
  <c r="O48" i="1" s="1"/>
  <c r="L48" i="1"/>
  <c r="M47" i="1"/>
  <c r="O47" i="1" s="1"/>
  <c r="L47" i="1"/>
  <c r="M46" i="1"/>
  <c r="O46" i="1" s="1"/>
  <c r="L46" i="1"/>
  <c r="M45" i="1"/>
  <c r="O45" i="1" s="1"/>
  <c r="L45" i="1"/>
  <c r="M44" i="1"/>
  <c r="O44" i="1" s="1"/>
  <c r="L44" i="1"/>
  <c r="M43" i="1"/>
  <c r="O43" i="1" s="1"/>
  <c r="L43" i="1"/>
  <c r="M42" i="1"/>
  <c r="O42" i="1" s="1"/>
  <c r="L42" i="1"/>
  <c r="M41" i="1"/>
  <c r="O41" i="1" s="1"/>
  <c r="L41" i="1"/>
  <c r="M40" i="1"/>
  <c r="O40" i="1" s="1"/>
  <c r="L40" i="1"/>
  <c r="M39" i="1"/>
  <c r="O39" i="1" s="1"/>
  <c r="L39" i="1"/>
  <c r="M38" i="1"/>
  <c r="O38" i="1" s="1"/>
  <c r="L38" i="1"/>
  <c r="M37" i="1"/>
  <c r="O37" i="1" s="1"/>
  <c r="L37" i="1"/>
  <c r="M36" i="1"/>
  <c r="O36" i="1" s="1"/>
  <c r="L36" i="1"/>
  <c r="M35" i="1"/>
  <c r="O35" i="1" s="1"/>
  <c r="L35" i="1"/>
  <c r="M34" i="1"/>
  <c r="O34" i="1" s="1"/>
  <c r="L34" i="1"/>
  <c r="M33" i="1"/>
  <c r="O33" i="1" s="1"/>
  <c r="L33" i="1"/>
  <c r="M32" i="1"/>
  <c r="O32" i="1" s="1"/>
  <c r="L32" i="1"/>
  <c r="M31" i="1"/>
  <c r="O31" i="1" s="1"/>
  <c r="L31" i="1"/>
  <c r="M30" i="1"/>
  <c r="O30" i="1" s="1"/>
  <c r="L30" i="1"/>
  <c r="M29" i="1"/>
  <c r="O29" i="1" s="1"/>
  <c r="L29" i="1"/>
  <c r="M28" i="1"/>
  <c r="O28" i="1" s="1"/>
  <c r="L28" i="1"/>
  <c r="M27" i="1"/>
  <c r="O27" i="1" s="1"/>
  <c r="L27" i="1"/>
  <c r="M26" i="1"/>
  <c r="O26" i="1" s="1"/>
  <c r="L26" i="1"/>
  <c r="M25" i="1"/>
  <c r="O25" i="1" s="1"/>
  <c r="L25" i="1"/>
  <c r="M24" i="1"/>
  <c r="O24" i="1" s="1"/>
  <c r="L24" i="1"/>
  <c r="M23" i="1"/>
  <c r="O23" i="1" s="1"/>
  <c r="L23" i="1"/>
  <c r="M22" i="1"/>
  <c r="O22" i="1" s="1"/>
  <c r="L22" i="1"/>
  <c r="M21" i="1"/>
  <c r="O21" i="1" s="1"/>
  <c r="L21" i="1"/>
  <c r="M20" i="1"/>
  <c r="O20" i="1" s="1"/>
  <c r="L20" i="1"/>
  <c r="M19" i="1"/>
  <c r="O19" i="1" s="1"/>
  <c r="L19" i="1"/>
  <c r="M18" i="1"/>
  <c r="O18" i="1" s="1"/>
  <c r="L18" i="1"/>
  <c r="M17" i="1"/>
  <c r="O17" i="1" s="1"/>
  <c r="L17" i="1"/>
  <c r="M16" i="1"/>
  <c r="O16" i="1" s="1"/>
  <c r="L16" i="1"/>
  <c r="M15" i="1"/>
  <c r="O15" i="1" s="1"/>
  <c r="L15" i="1"/>
  <c r="M14" i="1"/>
  <c r="O14" i="1" s="1"/>
  <c r="L14" i="1"/>
  <c r="M13" i="1"/>
  <c r="O13" i="1" s="1"/>
  <c r="L13" i="1"/>
  <c r="M12" i="1"/>
  <c r="O12" i="1" s="1"/>
  <c r="L12" i="1"/>
  <c r="M11" i="1"/>
  <c r="O11" i="1" s="1"/>
  <c r="L11" i="1"/>
  <c r="M10" i="1"/>
  <c r="O10" i="1" s="1"/>
  <c r="L10" i="1"/>
  <c r="M9" i="1"/>
  <c r="O9" i="1" s="1"/>
  <c r="L9" i="1"/>
  <c r="M8" i="1"/>
  <c r="O8" i="1" s="1"/>
  <c r="L8" i="1"/>
  <c r="M7" i="1"/>
  <c r="O7" i="1" s="1"/>
  <c r="L7" i="1"/>
  <c r="M6" i="1"/>
  <c r="O6" i="1" s="1"/>
  <c r="L6" i="1"/>
  <c r="M5" i="1"/>
  <c r="O5" i="1" s="1"/>
  <c r="L5" i="1"/>
  <c r="M4" i="1"/>
  <c r="O4" i="1" s="1"/>
  <c r="L4" i="1"/>
  <c r="M3" i="1"/>
  <c r="O3" i="1" s="1"/>
  <c r="L3" i="1"/>
  <c r="M2" i="1"/>
  <c r="O2" i="1" s="1"/>
  <c r="L2" i="1"/>
  <c r="D2" i="2" l="1"/>
  <c r="C16" i="2"/>
  <c r="D16" i="2" s="1"/>
</calcChain>
</file>

<file path=xl/sharedStrings.xml><?xml version="1.0" encoding="utf-8"?>
<sst xmlns="http://schemas.openxmlformats.org/spreadsheetml/2006/main" count="9684" uniqueCount="1612">
  <si>
    <t>ID Operación</t>
  </si>
  <si>
    <t>Fecha Cursado</t>
  </si>
  <si>
    <t>Sucursal</t>
  </si>
  <si>
    <t>Región</t>
  </si>
  <si>
    <t>Ejecutivo</t>
  </si>
  <si>
    <t>Segmento</t>
  </si>
  <si>
    <t>Tipo Vivienda</t>
  </si>
  <si>
    <t>Monto UF</t>
  </si>
  <si>
    <t>Plazo (años)</t>
  </si>
  <si>
    <t>Tasa Anual %</t>
  </si>
  <si>
    <t>LTV %</t>
  </si>
  <si>
    <t>Pie UF</t>
  </si>
  <si>
    <t>Dividendo UF</t>
  </si>
  <si>
    <t>Renta Cliente UF</t>
  </si>
  <si>
    <t>DTI %</t>
  </si>
  <si>
    <t>Estado</t>
  </si>
  <si>
    <t>HIP-100001</t>
  </si>
  <si>
    <t>2025-06-17</t>
  </si>
  <si>
    <t>Maipú</t>
  </si>
  <si>
    <t>RM</t>
  </si>
  <si>
    <t>E. Castro</t>
  </si>
  <si>
    <t>Universitario</t>
  </si>
  <si>
    <t>Casa nueva</t>
  </si>
  <si>
    <t>Castigado</t>
  </si>
  <si>
    <t>HIP-100002</t>
  </si>
  <si>
    <t>2025-01-20</t>
  </si>
  <si>
    <t>Concepción</t>
  </si>
  <si>
    <t>Biobío</t>
  </si>
  <si>
    <t>Pyme</t>
  </si>
  <si>
    <t>Pagado anticipado</t>
  </si>
  <si>
    <t>HIP-100003</t>
  </si>
  <si>
    <t>2025-07-09</t>
  </si>
  <si>
    <t>Valparaíso</t>
  </si>
  <si>
    <t>C. Tapia</t>
  </si>
  <si>
    <t>Select</t>
  </si>
  <si>
    <t>Departamento nuevo</t>
  </si>
  <si>
    <t>Vigente</t>
  </si>
  <si>
    <t>HIP-100004</t>
  </si>
  <si>
    <t>2025-08-05</t>
  </si>
  <si>
    <t>Temuco</t>
  </si>
  <si>
    <t>Araucanía</t>
  </si>
  <si>
    <t>G. Herrera</t>
  </si>
  <si>
    <t>HIP-100005</t>
  </si>
  <si>
    <t>2025-07-17</t>
  </si>
  <si>
    <t>Departamento usado</t>
  </si>
  <si>
    <t>HIP-100006</t>
  </si>
  <si>
    <t>2025-04-25</t>
  </si>
  <si>
    <t>Arica</t>
  </si>
  <si>
    <t>Arica y Parinacota</t>
  </si>
  <si>
    <t>T. Núñez</t>
  </si>
  <si>
    <t>Personas</t>
  </si>
  <si>
    <t>HIP-100007</t>
  </si>
  <si>
    <t>2025-08-08</t>
  </si>
  <si>
    <t>La Florida</t>
  </si>
  <si>
    <t>HIP-100008</t>
  </si>
  <si>
    <t>2025-11-17</t>
  </si>
  <si>
    <t>Valdivia</t>
  </si>
  <si>
    <t>Los Ríos</t>
  </si>
  <si>
    <t>B. Reyes</t>
  </si>
  <si>
    <t>Private Banking</t>
  </si>
  <si>
    <t>HIP-100009</t>
  </si>
  <si>
    <t>2025-04-09</t>
  </si>
  <si>
    <t>La Serena</t>
  </si>
  <si>
    <t>Coquimbo</t>
  </si>
  <si>
    <t>M. Silva</t>
  </si>
  <si>
    <t>HIP-100010</t>
  </si>
  <si>
    <t>2025-08-26</t>
  </si>
  <si>
    <t>Antofagasta</t>
  </si>
  <si>
    <t>F. Soto</t>
  </si>
  <si>
    <t>En mora 30-60d</t>
  </si>
  <si>
    <t>HIP-100011</t>
  </si>
  <si>
    <t>2025-02-21</t>
  </si>
  <si>
    <t>Iquique</t>
  </si>
  <si>
    <t>Tarapacá</t>
  </si>
  <si>
    <t>A. Rojas</t>
  </si>
  <si>
    <t>HIP-100012</t>
  </si>
  <si>
    <t>2025-08-19</t>
  </si>
  <si>
    <t>Santiago Centro</t>
  </si>
  <si>
    <t>N. Fuentes</t>
  </si>
  <si>
    <t>HIP-100013</t>
  </si>
  <si>
    <t>2025-01-11</t>
  </si>
  <si>
    <t>D. Araya</t>
  </si>
  <si>
    <t>HIP-100014</t>
  </si>
  <si>
    <t>2025-11-06</t>
  </si>
  <si>
    <t>Talca</t>
  </si>
  <si>
    <t>Maule</t>
  </si>
  <si>
    <t>HIP-100015</t>
  </si>
  <si>
    <t>2025-07-03</t>
  </si>
  <si>
    <t>V. Morales</t>
  </si>
  <si>
    <t>HIP-100016</t>
  </si>
  <si>
    <t>2025-06-04</t>
  </si>
  <si>
    <t>Puerto Montt</t>
  </si>
  <si>
    <t>Los Lagos</t>
  </si>
  <si>
    <t>HIP-100017</t>
  </si>
  <si>
    <t>2025-10-08</t>
  </si>
  <si>
    <t>HIP-100018</t>
  </si>
  <si>
    <t>2025-08-23</t>
  </si>
  <si>
    <t>L. Muñoz</t>
  </si>
  <si>
    <t>Casa usada</t>
  </si>
  <si>
    <t>HIP-100019</t>
  </si>
  <si>
    <t>Viña del Mar</t>
  </si>
  <si>
    <t>HIP-100020</t>
  </si>
  <si>
    <t>2025-05-15</t>
  </si>
  <si>
    <t>HIP-100021</t>
  </si>
  <si>
    <t>2025-04-01</t>
  </si>
  <si>
    <t>HIP-100022</t>
  </si>
  <si>
    <t>2025-03-12</t>
  </si>
  <si>
    <t>J. Cáceres</t>
  </si>
  <si>
    <t>HIP-100023</t>
  </si>
  <si>
    <t>2025-05-22</t>
  </si>
  <si>
    <t>HIP-100024</t>
  </si>
  <si>
    <t>2025-11-21</t>
  </si>
  <si>
    <t>HIP-100025</t>
  </si>
  <si>
    <t>2025-07-28</t>
  </si>
  <si>
    <t>P. Vega</t>
  </si>
  <si>
    <t>HIP-100026</t>
  </si>
  <si>
    <t>2025-08-20</t>
  </si>
  <si>
    <t>HIP-100027</t>
  </si>
  <si>
    <t>2025-11-09</t>
  </si>
  <si>
    <t>Chillán</t>
  </si>
  <si>
    <t>Ñuble</t>
  </si>
  <si>
    <t>HIP-100028</t>
  </si>
  <si>
    <t>2025-05-24</t>
  </si>
  <si>
    <t>HIP-100029</t>
  </si>
  <si>
    <t>2025-01-24</t>
  </si>
  <si>
    <t>HIP-100030</t>
  </si>
  <si>
    <t>2025-10-05</t>
  </si>
  <si>
    <t>HIP-100031</t>
  </si>
  <si>
    <t>2025-01-22</t>
  </si>
  <si>
    <t>HIP-100032</t>
  </si>
  <si>
    <t>2025-06-05</t>
  </si>
  <si>
    <t>Talcahuano</t>
  </si>
  <si>
    <t>HIP-100033</t>
  </si>
  <si>
    <t>2025-12-11</t>
  </si>
  <si>
    <t>HIP-100034</t>
  </si>
  <si>
    <t>2025-04-18</t>
  </si>
  <si>
    <t>HIP-100035</t>
  </si>
  <si>
    <t>2025-03-21</t>
  </si>
  <si>
    <t>HIP-100036</t>
  </si>
  <si>
    <t>2025-02-10</t>
  </si>
  <si>
    <t>HIP-100037</t>
  </si>
  <si>
    <t>2025-07-18</t>
  </si>
  <si>
    <t>Rancagua</t>
  </si>
  <si>
    <t>O'Higgins</t>
  </si>
  <si>
    <t>HIP-100038</t>
  </si>
  <si>
    <t>2025-12-19</t>
  </si>
  <si>
    <t>Las Condes</t>
  </si>
  <si>
    <t>HIP-100039</t>
  </si>
  <si>
    <t>2025-10-21</t>
  </si>
  <si>
    <t>HIP-100040</t>
  </si>
  <si>
    <t>2025-09-05</t>
  </si>
  <si>
    <t>HIP-100041</t>
  </si>
  <si>
    <t>2025-06-10</t>
  </si>
  <si>
    <t>Providencia</t>
  </si>
  <si>
    <t>HIP-100042</t>
  </si>
  <si>
    <t>2025-10-10</t>
  </si>
  <si>
    <t>S. Bravo</t>
  </si>
  <si>
    <t>HIP-100043</t>
  </si>
  <si>
    <t>2025-06-03</t>
  </si>
  <si>
    <t>HIP-100044</t>
  </si>
  <si>
    <t>2025-09-18</t>
  </si>
  <si>
    <t>HIP-100045</t>
  </si>
  <si>
    <t>2025-04-28</t>
  </si>
  <si>
    <t>HIP-100046</t>
  </si>
  <si>
    <t>2025-06-27</t>
  </si>
  <si>
    <t>HIP-100047</t>
  </si>
  <si>
    <t>2025-03-18</t>
  </si>
  <si>
    <t>HIP-100048</t>
  </si>
  <si>
    <t>2025-02-22</t>
  </si>
  <si>
    <t>HIP-100049</t>
  </si>
  <si>
    <t>2025-12-09</t>
  </si>
  <si>
    <t>HIP-100050</t>
  </si>
  <si>
    <t>2025-01-25</t>
  </si>
  <si>
    <t>HIP-100051</t>
  </si>
  <si>
    <t>2025-11-12</t>
  </si>
  <si>
    <t>Copiapó</t>
  </si>
  <si>
    <t>Atacama</t>
  </si>
  <si>
    <t>R. Pinto</t>
  </si>
  <si>
    <t>HIP-100052</t>
  </si>
  <si>
    <t>2025-10-22</t>
  </si>
  <si>
    <t>HIP-100053</t>
  </si>
  <si>
    <t>2025-05-14</t>
  </si>
  <si>
    <t>HIP-100054</t>
  </si>
  <si>
    <t>2025-06-20</t>
  </si>
  <si>
    <t>HIP-100055</t>
  </si>
  <si>
    <t>2025-06-09</t>
  </si>
  <si>
    <t>HIP-100056</t>
  </si>
  <si>
    <t>2025-12-24</t>
  </si>
  <si>
    <t>HIP-100057</t>
  </si>
  <si>
    <t>2025-11-11</t>
  </si>
  <si>
    <t>HIP-100058</t>
  </si>
  <si>
    <t>HIP-100059</t>
  </si>
  <si>
    <t>2025-09-22</t>
  </si>
  <si>
    <t>HIP-100060</t>
  </si>
  <si>
    <t>2025-03-26</t>
  </si>
  <si>
    <t>HIP-100061</t>
  </si>
  <si>
    <t>2025-09-23</t>
  </si>
  <si>
    <t>HIP-100062</t>
  </si>
  <si>
    <t>2025-08-18</t>
  </si>
  <si>
    <t>HIP-100063</t>
  </si>
  <si>
    <t>2025-03-23</t>
  </si>
  <si>
    <t>HIP-100064</t>
  </si>
  <si>
    <t>2025-03-17</t>
  </si>
  <si>
    <t>HIP-100065</t>
  </si>
  <si>
    <t>2025-06-06</t>
  </si>
  <si>
    <t>HIP-100066</t>
  </si>
  <si>
    <t>2025-10-16</t>
  </si>
  <si>
    <t>HIP-100067</t>
  </si>
  <si>
    <t>2025-04-21</t>
  </si>
  <si>
    <t>HIP-100068</t>
  </si>
  <si>
    <t>2025-07-01</t>
  </si>
  <si>
    <t>HIP-100069</t>
  </si>
  <si>
    <t>2025-08-13</t>
  </si>
  <si>
    <t>HIP-100070</t>
  </si>
  <si>
    <t>2025-06-18</t>
  </si>
  <si>
    <t>HIP-100071</t>
  </si>
  <si>
    <t>2025-11-26</t>
  </si>
  <si>
    <t>HIP-100072</t>
  </si>
  <si>
    <t>HIP-100073</t>
  </si>
  <si>
    <t>2025-05-16</t>
  </si>
  <si>
    <t>HIP-100074</t>
  </si>
  <si>
    <t>HIP-100075</t>
  </si>
  <si>
    <t>2025-04-13</t>
  </si>
  <si>
    <t>HIP-100076</t>
  </si>
  <si>
    <t>2025-10-28</t>
  </si>
  <si>
    <t>HIP-100077</t>
  </si>
  <si>
    <t>2025-07-26</t>
  </si>
  <si>
    <t>HIP-100078</t>
  </si>
  <si>
    <t>2025-09-09</t>
  </si>
  <si>
    <t>HIP-100079</t>
  </si>
  <si>
    <t>2025-11-02</t>
  </si>
  <si>
    <t>HIP-100080</t>
  </si>
  <si>
    <t>2025-05-03</t>
  </si>
  <si>
    <t>HIP-100081</t>
  </si>
  <si>
    <t>HIP-100082</t>
  </si>
  <si>
    <t>2025-01-01</t>
  </si>
  <si>
    <t>HIP-100083</t>
  </si>
  <si>
    <t>2025-06-13</t>
  </si>
  <si>
    <t>HIP-100084</t>
  </si>
  <si>
    <t>HIP-100085</t>
  </si>
  <si>
    <t>HIP-100086</t>
  </si>
  <si>
    <t>HIP-100087</t>
  </si>
  <si>
    <t>2025-02-08</t>
  </si>
  <si>
    <t>HIP-100088</t>
  </si>
  <si>
    <t>2025-09-10</t>
  </si>
  <si>
    <t>HIP-100089</t>
  </si>
  <si>
    <t>2025-10-04</t>
  </si>
  <si>
    <t>HIP-100090</t>
  </si>
  <si>
    <t>2025-12-27</t>
  </si>
  <si>
    <t>HIP-100091</t>
  </si>
  <si>
    <t>2025-09-01</t>
  </si>
  <si>
    <t>HIP-100092</t>
  </si>
  <si>
    <t>HIP-100093</t>
  </si>
  <si>
    <t>2025-06-28</t>
  </si>
  <si>
    <t>HIP-100094</t>
  </si>
  <si>
    <t>2025-11-19</t>
  </si>
  <si>
    <t>HIP-100095</t>
  </si>
  <si>
    <t>2025-05-27</t>
  </si>
  <si>
    <t>HIP-100096</t>
  </si>
  <si>
    <t>HIP-100097</t>
  </si>
  <si>
    <t>2025-12-28</t>
  </si>
  <si>
    <t>HIP-100098</t>
  </si>
  <si>
    <t>2025-04-12</t>
  </si>
  <si>
    <t>HIP-100099</t>
  </si>
  <si>
    <t>2025-04-11</t>
  </si>
  <si>
    <t>HIP-100100</t>
  </si>
  <si>
    <t>HIP-100101</t>
  </si>
  <si>
    <t>2025-09-26</t>
  </si>
  <si>
    <t>HIP-100102</t>
  </si>
  <si>
    <t>2025-06-24</t>
  </si>
  <si>
    <t>HIP-100103</t>
  </si>
  <si>
    <t>HIP-100104</t>
  </si>
  <si>
    <t>2025-02-14</t>
  </si>
  <si>
    <t>HIP-100105</t>
  </si>
  <si>
    <t>2025-01-18</t>
  </si>
  <si>
    <t>HIP-100106</t>
  </si>
  <si>
    <t>HIP-100107</t>
  </si>
  <si>
    <t>2025-12-21</t>
  </si>
  <si>
    <t>HIP-100108</t>
  </si>
  <si>
    <t>2025-11-15</t>
  </si>
  <si>
    <t>HIP-100109</t>
  </si>
  <si>
    <t>2025-01-12</t>
  </si>
  <si>
    <t>HIP-100110</t>
  </si>
  <si>
    <t>HIP-100111</t>
  </si>
  <si>
    <t>2025-01-23</t>
  </si>
  <si>
    <t>HIP-100112</t>
  </si>
  <si>
    <t>2025-07-08</t>
  </si>
  <si>
    <t>HIP-100113</t>
  </si>
  <si>
    <t>2025-08-27</t>
  </si>
  <si>
    <t>HIP-100114</t>
  </si>
  <si>
    <t>2025-07-10</t>
  </si>
  <si>
    <t>HIP-100115</t>
  </si>
  <si>
    <t>2025-07-27</t>
  </si>
  <si>
    <t>HIP-100116</t>
  </si>
  <si>
    <t>HIP-100117</t>
  </si>
  <si>
    <t>HIP-100118</t>
  </si>
  <si>
    <t>2025-04-07</t>
  </si>
  <si>
    <t>HIP-100119</t>
  </si>
  <si>
    <t>2025-06-26</t>
  </si>
  <si>
    <t>HIP-100120</t>
  </si>
  <si>
    <t>HIP-100121</t>
  </si>
  <si>
    <t>HIP-100122</t>
  </si>
  <si>
    <t>2025-02-09</t>
  </si>
  <si>
    <t>HIP-100123</t>
  </si>
  <si>
    <t>HIP-100124</t>
  </si>
  <si>
    <t>2025-08-17</t>
  </si>
  <si>
    <t>HIP-100125</t>
  </si>
  <si>
    <t>2025-01-21</t>
  </si>
  <si>
    <t>HIP-100126</t>
  </si>
  <si>
    <t>2025-07-15</t>
  </si>
  <si>
    <t>HIP-100127</t>
  </si>
  <si>
    <t>HIP-100128</t>
  </si>
  <si>
    <t>2025-12-17</t>
  </si>
  <si>
    <t>HIP-100129</t>
  </si>
  <si>
    <t>HIP-100130</t>
  </si>
  <si>
    <t>2025-06-23</t>
  </si>
  <si>
    <t>HIP-100131</t>
  </si>
  <si>
    <t>2025-12-25</t>
  </si>
  <si>
    <t>HIP-100132</t>
  </si>
  <si>
    <t>HIP-100133</t>
  </si>
  <si>
    <t>2025-02-23</t>
  </si>
  <si>
    <t>HIP-100134</t>
  </si>
  <si>
    <t>HIP-100135</t>
  </si>
  <si>
    <t>HIP-100136</t>
  </si>
  <si>
    <t>HIP-100137</t>
  </si>
  <si>
    <t>2025-08-02</t>
  </si>
  <si>
    <t>HIP-100138</t>
  </si>
  <si>
    <t>HIP-100139</t>
  </si>
  <si>
    <t>2025-02-04</t>
  </si>
  <si>
    <t>HIP-100140</t>
  </si>
  <si>
    <t>2025-05-01</t>
  </si>
  <si>
    <t>HIP-100141</t>
  </si>
  <si>
    <t>2025-02-11</t>
  </si>
  <si>
    <t>HIP-100142</t>
  </si>
  <si>
    <t>2025-01-17</t>
  </si>
  <si>
    <t>HIP-100143</t>
  </si>
  <si>
    <t>2025-12-06</t>
  </si>
  <si>
    <t>HIP-100144</t>
  </si>
  <si>
    <t>2025-01-27</t>
  </si>
  <si>
    <t>HIP-100145</t>
  </si>
  <si>
    <t>2025-10-20</t>
  </si>
  <si>
    <t>HIP-100146</t>
  </si>
  <si>
    <t>2025-06-02</t>
  </si>
  <si>
    <t>HIP-100147</t>
  </si>
  <si>
    <t>2025-10-15</t>
  </si>
  <si>
    <t>HIP-100148</t>
  </si>
  <si>
    <t>2025-04-27</t>
  </si>
  <si>
    <t>HIP-100149</t>
  </si>
  <si>
    <t>2025-12-23</t>
  </si>
  <si>
    <t>HIP-100150</t>
  </si>
  <si>
    <t>2025-12-01</t>
  </si>
  <si>
    <t>HIP-100151</t>
  </si>
  <si>
    <t>HIP-100152</t>
  </si>
  <si>
    <t>2025-07-19</t>
  </si>
  <si>
    <t>HIP-100153</t>
  </si>
  <si>
    <t>2025-12-02</t>
  </si>
  <si>
    <t>HIP-100154</t>
  </si>
  <si>
    <t>HIP-100155</t>
  </si>
  <si>
    <t>2025-05-08</t>
  </si>
  <si>
    <t>HIP-100156</t>
  </si>
  <si>
    <t>2025-02-02</t>
  </si>
  <si>
    <t>HIP-100157</t>
  </si>
  <si>
    <t>2025-03-25</t>
  </si>
  <si>
    <t>HIP-100158</t>
  </si>
  <si>
    <t>HIP-100159</t>
  </si>
  <si>
    <t>2025-06-01</t>
  </si>
  <si>
    <t>HIP-100160</t>
  </si>
  <si>
    <t>HIP-100161</t>
  </si>
  <si>
    <t>HIP-100162</t>
  </si>
  <si>
    <t>2025-09-15</t>
  </si>
  <si>
    <t>HIP-100163</t>
  </si>
  <si>
    <t>HIP-100164</t>
  </si>
  <si>
    <t>2025-11-16</t>
  </si>
  <si>
    <t>HIP-100165</t>
  </si>
  <si>
    <t>HIP-100166</t>
  </si>
  <si>
    <t>2025-07-02</t>
  </si>
  <si>
    <t>HIP-100167</t>
  </si>
  <si>
    <t>2025-08-15</t>
  </si>
  <si>
    <t>HIP-100168</t>
  </si>
  <si>
    <t>2025-08-06</t>
  </si>
  <si>
    <t>HIP-100169</t>
  </si>
  <si>
    <t>HIP-100170</t>
  </si>
  <si>
    <t>2025-10-14</t>
  </si>
  <si>
    <t>HIP-100171</t>
  </si>
  <si>
    <t>2025-08-03</t>
  </si>
  <si>
    <t>HIP-100172</t>
  </si>
  <si>
    <t>HIP-100173</t>
  </si>
  <si>
    <t>HIP-100174</t>
  </si>
  <si>
    <t>2025-04-03</t>
  </si>
  <si>
    <t>HIP-100175</t>
  </si>
  <si>
    <t>2025-12-16</t>
  </si>
  <si>
    <t>HIP-100176</t>
  </si>
  <si>
    <t>2025-08-21</t>
  </si>
  <si>
    <t>HIP-100177</t>
  </si>
  <si>
    <t>2025-03-03</t>
  </si>
  <si>
    <t>HIP-100178</t>
  </si>
  <si>
    <t>2025-04-17</t>
  </si>
  <si>
    <t>HIP-100179</t>
  </si>
  <si>
    <t>HIP-100180</t>
  </si>
  <si>
    <t>2025-02-16</t>
  </si>
  <si>
    <t>HIP-100181</t>
  </si>
  <si>
    <t>2025-01-28</t>
  </si>
  <si>
    <t>HIP-100182</t>
  </si>
  <si>
    <t>2025-05-11</t>
  </si>
  <si>
    <t>HIP-100183</t>
  </si>
  <si>
    <t>2025-02-07</t>
  </si>
  <si>
    <t>HIP-100184</t>
  </si>
  <si>
    <t>2025-09-24</t>
  </si>
  <si>
    <t>HIP-100185</t>
  </si>
  <si>
    <t>2025-02-19</t>
  </si>
  <si>
    <t>HIP-100186</t>
  </si>
  <si>
    <t>2025-12-22</t>
  </si>
  <si>
    <t>HIP-100187</t>
  </si>
  <si>
    <t>2025-09-21</t>
  </si>
  <si>
    <t>HIP-100188</t>
  </si>
  <si>
    <t>2025-11-08</t>
  </si>
  <si>
    <t>HIP-100189</t>
  </si>
  <si>
    <t>HIP-100190</t>
  </si>
  <si>
    <t>2025-06-12</t>
  </si>
  <si>
    <t>HIP-100191</t>
  </si>
  <si>
    <t>HIP-100192</t>
  </si>
  <si>
    <t>HIP-100193</t>
  </si>
  <si>
    <t>HIP-100194</t>
  </si>
  <si>
    <t>2025-04-22</t>
  </si>
  <si>
    <t>HIP-100195</t>
  </si>
  <si>
    <t>HIP-100196</t>
  </si>
  <si>
    <t>HIP-100197</t>
  </si>
  <si>
    <t>HIP-100198</t>
  </si>
  <si>
    <t>2025-03-28</t>
  </si>
  <si>
    <t>HIP-100199</t>
  </si>
  <si>
    <t>HIP-100200</t>
  </si>
  <si>
    <t>HIP-100201</t>
  </si>
  <si>
    <t>HIP-100202</t>
  </si>
  <si>
    <t>2025-05-25</t>
  </si>
  <si>
    <t>HIP-100203</t>
  </si>
  <si>
    <t>2025-03-01</t>
  </si>
  <si>
    <t>HIP-100204</t>
  </si>
  <si>
    <t>HIP-100205</t>
  </si>
  <si>
    <t>2025-10-03</t>
  </si>
  <si>
    <t>HIP-100206</t>
  </si>
  <si>
    <t>HIP-100207</t>
  </si>
  <si>
    <t>2025-10-07</t>
  </si>
  <si>
    <t>HIP-100208</t>
  </si>
  <si>
    <t>HIP-100209</t>
  </si>
  <si>
    <t>2025-04-06</t>
  </si>
  <si>
    <t>HIP-100210</t>
  </si>
  <si>
    <t>HIP-100211</t>
  </si>
  <si>
    <t>HIP-100212</t>
  </si>
  <si>
    <t>HIP-100213</t>
  </si>
  <si>
    <t>HIP-100214</t>
  </si>
  <si>
    <t>2025-10-11</t>
  </si>
  <si>
    <t>HIP-100215</t>
  </si>
  <si>
    <t>HIP-100216</t>
  </si>
  <si>
    <t>HIP-100217</t>
  </si>
  <si>
    <t>HIP-100218</t>
  </si>
  <si>
    <t>2025-10-17</t>
  </si>
  <si>
    <t>HIP-100219</t>
  </si>
  <si>
    <t>2025-02-20</t>
  </si>
  <si>
    <t>HIP-100220</t>
  </si>
  <si>
    <t>2025-08-09</t>
  </si>
  <si>
    <t>HIP-100221</t>
  </si>
  <si>
    <t>2025-03-20</t>
  </si>
  <si>
    <t>HIP-100222</t>
  </si>
  <si>
    <t>HIP-100223</t>
  </si>
  <si>
    <t>HIP-100224</t>
  </si>
  <si>
    <t>HIP-100225</t>
  </si>
  <si>
    <t>HIP-100226</t>
  </si>
  <si>
    <t>2025-03-16</t>
  </si>
  <si>
    <t>HIP-100227</t>
  </si>
  <si>
    <t>HIP-100228</t>
  </si>
  <si>
    <t>2025-02-13</t>
  </si>
  <si>
    <t>HIP-100229</t>
  </si>
  <si>
    <t>HIP-100230</t>
  </si>
  <si>
    <t>HIP-100231</t>
  </si>
  <si>
    <t>2025-07-20</t>
  </si>
  <si>
    <t>HIP-100232</t>
  </si>
  <si>
    <t>2025-09-19</t>
  </si>
  <si>
    <t>HIP-100233</t>
  </si>
  <si>
    <t>2025-07-11</t>
  </si>
  <si>
    <t>HIP-100234</t>
  </si>
  <si>
    <t>HIP-100235</t>
  </si>
  <si>
    <t>2025-11-25</t>
  </si>
  <si>
    <t>HIP-100236</t>
  </si>
  <si>
    <t>2025-02-18</t>
  </si>
  <si>
    <t>HIP-100237</t>
  </si>
  <si>
    <t>HIP-100238</t>
  </si>
  <si>
    <t>HIP-100239</t>
  </si>
  <si>
    <t>2025-07-25</t>
  </si>
  <si>
    <t>HIP-100240</t>
  </si>
  <si>
    <t>HIP-100241</t>
  </si>
  <si>
    <t>2025-03-02</t>
  </si>
  <si>
    <t>HIP-100242</t>
  </si>
  <si>
    <t>HIP-100243</t>
  </si>
  <si>
    <t>2025-10-26</t>
  </si>
  <si>
    <t>HIP-100244</t>
  </si>
  <si>
    <t>2025-10-13</t>
  </si>
  <si>
    <t>HIP-100245</t>
  </si>
  <si>
    <t>2025-05-21</t>
  </si>
  <si>
    <t>HIP-100246</t>
  </si>
  <si>
    <t>2025-05-07</t>
  </si>
  <si>
    <t>HIP-100247</t>
  </si>
  <si>
    <t>HIP-100248</t>
  </si>
  <si>
    <t>2025-01-10</t>
  </si>
  <si>
    <t>HIP-100249</t>
  </si>
  <si>
    <t>2025-01-09</t>
  </si>
  <si>
    <t>HIP-100250</t>
  </si>
  <si>
    <t>2025-05-19</t>
  </si>
  <si>
    <t>HIP-100251</t>
  </si>
  <si>
    <t>HIP-100252</t>
  </si>
  <si>
    <t>HIP-100253</t>
  </si>
  <si>
    <t>HIP-100254</t>
  </si>
  <si>
    <t>2025-09-04</t>
  </si>
  <si>
    <t>HIP-100255</t>
  </si>
  <si>
    <t>HIP-100256</t>
  </si>
  <si>
    <t>2025-08-10</t>
  </si>
  <si>
    <t>HIP-100257</t>
  </si>
  <si>
    <t>HIP-100258</t>
  </si>
  <si>
    <t>2025-04-16</t>
  </si>
  <si>
    <t>HIP-100259</t>
  </si>
  <si>
    <t>HIP-100260</t>
  </si>
  <si>
    <t>2025-04-15</t>
  </si>
  <si>
    <t>HIP-100261</t>
  </si>
  <si>
    <t>2025-07-04</t>
  </si>
  <si>
    <t>HIP-100262</t>
  </si>
  <si>
    <t>2025-03-11</t>
  </si>
  <si>
    <t>HIP-100263</t>
  </si>
  <si>
    <t>2025-03-14</t>
  </si>
  <si>
    <t>HIP-100264</t>
  </si>
  <si>
    <t>2025-11-28</t>
  </si>
  <si>
    <t>HIP-100265</t>
  </si>
  <si>
    <t>HIP-100266</t>
  </si>
  <si>
    <t>HIP-100267</t>
  </si>
  <si>
    <t>2025-06-16</t>
  </si>
  <si>
    <t>HIP-100268</t>
  </si>
  <si>
    <t>2025-10-19</t>
  </si>
  <si>
    <t>HIP-100269</t>
  </si>
  <si>
    <t>HIP-100270</t>
  </si>
  <si>
    <t>HIP-100271</t>
  </si>
  <si>
    <t>2025-12-04</t>
  </si>
  <si>
    <t>HIP-100272</t>
  </si>
  <si>
    <t>HIP-100273</t>
  </si>
  <si>
    <t>2025-05-20</t>
  </si>
  <si>
    <t>HIP-100274</t>
  </si>
  <si>
    <t>2025-05-28</t>
  </si>
  <si>
    <t>HIP-100275</t>
  </si>
  <si>
    <t>HIP-100276</t>
  </si>
  <si>
    <t>2025-04-10</t>
  </si>
  <si>
    <t>HIP-100277</t>
  </si>
  <si>
    <t>2025-04-08</t>
  </si>
  <si>
    <t>HIP-100278</t>
  </si>
  <si>
    <t>2025-08-11</t>
  </si>
  <si>
    <t>HIP-100279</t>
  </si>
  <si>
    <t>HIP-100280</t>
  </si>
  <si>
    <t>HIP-100281</t>
  </si>
  <si>
    <t>HIP-100282</t>
  </si>
  <si>
    <t>2025-02-17</t>
  </si>
  <si>
    <t>HIP-100283</t>
  </si>
  <si>
    <t>HIP-100284</t>
  </si>
  <si>
    <t>2025-10-09</t>
  </si>
  <si>
    <t>HIP-100285</t>
  </si>
  <si>
    <t>HIP-100286</t>
  </si>
  <si>
    <t>HIP-100287</t>
  </si>
  <si>
    <t>2025-05-09</t>
  </si>
  <si>
    <t>HIP-100288</t>
  </si>
  <si>
    <t>2025-01-07</t>
  </si>
  <si>
    <t>HIP-100289</t>
  </si>
  <si>
    <t>2025-01-08</t>
  </si>
  <si>
    <t>HIP-100290</t>
  </si>
  <si>
    <t>2025-03-04</t>
  </si>
  <si>
    <t>HIP-100291</t>
  </si>
  <si>
    <t>HIP-100292</t>
  </si>
  <si>
    <t>HIP-100293</t>
  </si>
  <si>
    <t>HIP-100294</t>
  </si>
  <si>
    <t>HIP-100295</t>
  </si>
  <si>
    <t>2025-05-06</t>
  </si>
  <si>
    <t>HIP-100296</t>
  </si>
  <si>
    <t>2025-06-07</t>
  </si>
  <si>
    <t>HIP-100297</t>
  </si>
  <si>
    <t>2025-10-25</t>
  </si>
  <si>
    <t>HIP-100298</t>
  </si>
  <si>
    <t>2025-08-28</t>
  </si>
  <si>
    <t>HIP-100299</t>
  </si>
  <si>
    <t>HIP-100300</t>
  </si>
  <si>
    <t>2025-06-11</t>
  </si>
  <si>
    <t>HIP-100301</t>
  </si>
  <si>
    <t>2025-07-22</t>
  </si>
  <si>
    <t>HIP-100302</t>
  </si>
  <si>
    <t>HIP-100303</t>
  </si>
  <si>
    <t>HIP-100304</t>
  </si>
  <si>
    <t>2025-09-12</t>
  </si>
  <si>
    <t>HIP-100305</t>
  </si>
  <si>
    <t>HIP-100306</t>
  </si>
  <si>
    <t>2025-10-01</t>
  </si>
  <si>
    <t>HIP-100307</t>
  </si>
  <si>
    <t>2025-02-01</t>
  </si>
  <si>
    <t>HIP-100308</t>
  </si>
  <si>
    <t>HIP-100309</t>
  </si>
  <si>
    <t>HIP-100310</t>
  </si>
  <si>
    <t>HIP-100311</t>
  </si>
  <si>
    <t>HIP-100312</t>
  </si>
  <si>
    <t>2025-11-27</t>
  </si>
  <si>
    <t>HIP-100313</t>
  </si>
  <si>
    <t>2025-01-06</t>
  </si>
  <si>
    <t>HIP-100314</t>
  </si>
  <si>
    <t>2025-09-28</t>
  </si>
  <si>
    <t>HIP-100315</t>
  </si>
  <si>
    <t>HIP-100316</t>
  </si>
  <si>
    <t>HIP-100317</t>
  </si>
  <si>
    <t>2025-09-11</t>
  </si>
  <si>
    <t>HIP-100318</t>
  </si>
  <si>
    <t>2025-05-02</t>
  </si>
  <si>
    <t>HIP-100319</t>
  </si>
  <si>
    <t>2025-06-25</t>
  </si>
  <si>
    <t>HIP-100320</t>
  </si>
  <si>
    <t>HIP-100321</t>
  </si>
  <si>
    <t>HIP-100322</t>
  </si>
  <si>
    <t>HIP-100323</t>
  </si>
  <si>
    <t>2025-09-03</t>
  </si>
  <si>
    <t>HIP-100324</t>
  </si>
  <si>
    <t>HIP-100325</t>
  </si>
  <si>
    <t>HIP-100326</t>
  </si>
  <si>
    <t>HIP-100327</t>
  </si>
  <si>
    <t>2025-10-06</t>
  </si>
  <si>
    <t>HIP-100328</t>
  </si>
  <si>
    <t>HIP-100329</t>
  </si>
  <si>
    <t>HIP-100330</t>
  </si>
  <si>
    <t>2025-07-06</t>
  </si>
  <si>
    <t>HIP-100331</t>
  </si>
  <si>
    <t>HIP-100332</t>
  </si>
  <si>
    <t>HIP-100333</t>
  </si>
  <si>
    <t>2025-06-08</t>
  </si>
  <si>
    <t>HIP-100334</t>
  </si>
  <si>
    <t>2025-12-03</t>
  </si>
  <si>
    <t>HIP-100335</t>
  </si>
  <si>
    <t>2025-09-08</t>
  </si>
  <si>
    <t>HIP-100336</t>
  </si>
  <si>
    <t>HIP-100337</t>
  </si>
  <si>
    <t>2025-03-08</t>
  </si>
  <si>
    <t>HIP-100338</t>
  </si>
  <si>
    <t>2025-10-02</t>
  </si>
  <si>
    <t>HIP-100339</t>
  </si>
  <si>
    <t>HIP-100340</t>
  </si>
  <si>
    <t>HIP-100341</t>
  </si>
  <si>
    <t>2025-05-13</t>
  </si>
  <si>
    <t>HIP-100342</t>
  </si>
  <si>
    <t>2025-02-26</t>
  </si>
  <si>
    <t>HIP-100343</t>
  </si>
  <si>
    <t>HIP-100344</t>
  </si>
  <si>
    <t>HIP-100345</t>
  </si>
  <si>
    <t>2025-03-19</t>
  </si>
  <si>
    <t>HIP-100346</t>
  </si>
  <si>
    <t>2025-07-05</t>
  </si>
  <si>
    <t>HIP-100347</t>
  </si>
  <si>
    <t>2025-01-03</t>
  </si>
  <si>
    <t>HIP-100348</t>
  </si>
  <si>
    <t>2025-12-10</t>
  </si>
  <si>
    <t>HIP-100349</t>
  </si>
  <si>
    <t>HIP-100350</t>
  </si>
  <si>
    <t>HIP-100351</t>
  </si>
  <si>
    <t>2025-12-07</t>
  </si>
  <si>
    <t>HIP-100352</t>
  </si>
  <si>
    <t>2025-05-10</t>
  </si>
  <si>
    <t>HIP-100353</t>
  </si>
  <si>
    <t>HIP-100354</t>
  </si>
  <si>
    <t>2025-01-16</t>
  </si>
  <si>
    <t>HIP-100355</t>
  </si>
  <si>
    <t>HIP-100356</t>
  </si>
  <si>
    <t>HIP-100357</t>
  </si>
  <si>
    <t>2025-08-16</t>
  </si>
  <si>
    <t>HIP-100358</t>
  </si>
  <si>
    <t>HIP-100359</t>
  </si>
  <si>
    <t>HIP-100360</t>
  </si>
  <si>
    <t>HIP-100361</t>
  </si>
  <si>
    <t>HIP-100362</t>
  </si>
  <si>
    <t>HIP-100363</t>
  </si>
  <si>
    <t>HIP-100364</t>
  </si>
  <si>
    <t>HIP-100365</t>
  </si>
  <si>
    <t>HIP-100366</t>
  </si>
  <si>
    <t>2025-09-07</t>
  </si>
  <si>
    <t>HIP-100367</t>
  </si>
  <si>
    <t>2025-11-13</t>
  </si>
  <si>
    <t>HIP-100368</t>
  </si>
  <si>
    <t>HIP-100369</t>
  </si>
  <si>
    <t>HIP-100370</t>
  </si>
  <si>
    <t>2025-02-27</t>
  </si>
  <si>
    <t>HIP-100371</t>
  </si>
  <si>
    <t>2025-01-26</t>
  </si>
  <si>
    <t>HIP-100372</t>
  </si>
  <si>
    <t>HIP-100373</t>
  </si>
  <si>
    <t>2025-01-14</t>
  </si>
  <si>
    <t>HIP-100374</t>
  </si>
  <si>
    <t>HIP-100375</t>
  </si>
  <si>
    <t>2025-04-14</t>
  </si>
  <si>
    <t>HIP-100376</t>
  </si>
  <si>
    <t>HIP-100377</t>
  </si>
  <si>
    <t>HIP-100378</t>
  </si>
  <si>
    <t>2025-05-17</t>
  </si>
  <si>
    <t>HIP-100379</t>
  </si>
  <si>
    <t>HIP-100380</t>
  </si>
  <si>
    <t>HIP-100381</t>
  </si>
  <si>
    <t>HIP-100382</t>
  </si>
  <si>
    <t>HIP-100383</t>
  </si>
  <si>
    <t>HIP-100384</t>
  </si>
  <si>
    <t>HIP-100385</t>
  </si>
  <si>
    <t>HIP-100386</t>
  </si>
  <si>
    <t>HIP-100387</t>
  </si>
  <si>
    <t>2025-11-04</t>
  </si>
  <si>
    <t>HIP-100388</t>
  </si>
  <si>
    <t>HIP-100389</t>
  </si>
  <si>
    <t>HIP-100390</t>
  </si>
  <si>
    <t>HIP-100391</t>
  </si>
  <si>
    <t>HIP-100392</t>
  </si>
  <si>
    <t>HIP-100393</t>
  </si>
  <si>
    <t>HIP-100394</t>
  </si>
  <si>
    <t>2025-02-05</t>
  </si>
  <si>
    <t>HIP-100395</t>
  </si>
  <si>
    <t>HIP-100396</t>
  </si>
  <si>
    <t>HIP-100397</t>
  </si>
  <si>
    <t>HIP-100398</t>
  </si>
  <si>
    <t>HIP-100399</t>
  </si>
  <si>
    <t>HIP-100400</t>
  </si>
  <si>
    <t>2025-01-05</t>
  </si>
  <si>
    <t>HIP-100401</t>
  </si>
  <si>
    <t>HIP-100402</t>
  </si>
  <si>
    <t>2025-04-19</t>
  </si>
  <si>
    <t>HIP-100403</t>
  </si>
  <si>
    <t>HIP-100404</t>
  </si>
  <si>
    <t>HIP-100405</t>
  </si>
  <si>
    <t>HIP-100406</t>
  </si>
  <si>
    <t>HIP-100407</t>
  </si>
  <si>
    <t>2025-12-13</t>
  </si>
  <si>
    <t>HIP-100408</t>
  </si>
  <si>
    <t>HIP-100409</t>
  </si>
  <si>
    <t>HIP-100410</t>
  </si>
  <si>
    <t>HIP-100411</t>
  </si>
  <si>
    <t>HIP-100412</t>
  </si>
  <si>
    <t>HIP-100413</t>
  </si>
  <si>
    <t>2025-11-01</t>
  </si>
  <si>
    <t>HIP-100414</t>
  </si>
  <si>
    <t>HIP-100415</t>
  </si>
  <si>
    <t>HIP-100416</t>
  </si>
  <si>
    <t>HIP-100417</t>
  </si>
  <si>
    <t>HIP-100418</t>
  </si>
  <si>
    <t>HIP-100419</t>
  </si>
  <si>
    <t>HIP-100420</t>
  </si>
  <si>
    <t>HIP-100421</t>
  </si>
  <si>
    <t>2025-12-15</t>
  </si>
  <si>
    <t>HIP-100422</t>
  </si>
  <si>
    <t>HIP-100423</t>
  </si>
  <si>
    <t>HIP-100424</t>
  </si>
  <si>
    <t>HIP-100425</t>
  </si>
  <si>
    <t>2025-11-20</t>
  </si>
  <si>
    <t>HIP-100426</t>
  </si>
  <si>
    <t>HIP-100427</t>
  </si>
  <si>
    <t>HIP-100428</t>
  </si>
  <si>
    <t>HIP-100429</t>
  </si>
  <si>
    <t>HIP-100430</t>
  </si>
  <si>
    <t>HIP-100431</t>
  </si>
  <si>
    <t>HIP-100432</t>
  </si>
  <si>
    <t>HIP-100433</t>
  </si>
  <si>
    <t>2025-04-24</t>
  </si>
  <si>
    <t>HIP-100434</t>
  </si>
  <si>
    <t>HIP-100435</t>
  </si>
  <si>
    <t>HIP-100436</t>
  </si>
  <si>
    <t>HIP-100437</t>
  </si>
  <si>
    <t>2025-11-23</t>
  </si>
  <si>
    <t>HIP-100438</t>
  </si>
  <si>
    <t>HIP-100439</t>
  </si>
  <si>
    <t>2025-07-24</t>
  </si>
  <si>
    <t>HIP-100440</t>
  </si>
  <si>
    <t>HIP-100441</t>
  </si>
  <si>
    <t>HIP-100442</t>
  </si>
  <si>
    <t>HIP-100443</t>
  </si>
  <si>
    <t>HIP-100444</t>
  </si>
  <si>
    <t>HIP-100445</t>
  </si>
  <si>
    <t>2025-05-26</t>
  </si>
  <si>
    <t>HIP-100446</t>
  </si>
  <si>
    <t>HIP-100447</t>
  </si>
  <si>
    <t>HIP-100448</t>
  </si>
  <si>
    <t>HIP-100449</t>
  </si>
  <si>
    <t>2025-03-24</t>
  </si>
  <si>
    <t>HIP-100450</t>
  </si>
  <si>
    <t>HIP-100451</t>
  </si>
  <si>
    <t>HIP-100452</t>
  </si>
  <si>
    <t>HIP-100453</t>
  </si>
  <si>
    <t>HIP-100454</t>
  </si>
  <si>
    <t>2025-09-14</t>
  </si>
  <si>
    <t>HIP-100455</t>
  </si>
  <si>
    <t>HIP-100456</t>
  </si>
  <si>
    <t>2025-02-03</t>
  </si>
  <si>
    <t>HIP-100457</t>
  </si>
  <si>
    <t>HIP-100458</t>
  </si>
  <si>
    <t>HIP-100459</t>
  </si>
  <si>
    <t>HIP-100460</t>
  </si>
  <si>
    <t>HIP-100461</t>
  </si>
  <si>
    <t>HIP-100462</t>
  </si>
  <si>
    <t>HIP-100463</t>
  </si>
  <si>
    <t>2025-02-15</t>
  </si>
  <si>
    <t>HIP-100464</t>
  </si>
  <si>
    <t>HIP-100465</t>
  </si>
  <si>
    <t>HIP-100466</t>
  </si>
  <si>
    <t>HIP-100467</t>
  </si>
  <si>
    <t>HIP-100468</t>
  </si>
  <si>
    <t>2025-03-22</t>
  </si>
  <si>
    <t>HIP-100469</t>
  </si>
  <si>
    <t>HIP-100470</t>
  </si>
  <si>
    <t>HIP-100471</t>
  </si>
  <si>
    <t>HIP-100472</t>
  </si>
  <si>
    <t>HIP-100473</t>
  </si>
  <si>
    <t>HIP-100474</t>
  </si>
  <si>
    <t>HIP-100475</t>
  </si>
  <si>
    <t>HIP-100476</t>
  </si>
  <si>
    <t>2025-07-12</t>
  </si>
  <si>
    <t>HIP-100477</t>
  </si>
  <si>
    <t>HIP-100478</t>
  </si>
  <si>
    <t>HIP-100479</t>
  </si>
  <si>
    <t>HIP-100480</t>
  </si>
  <si>
    <t>2025-03-05</t>
  </si>
  <si>
    <t>HIP-100481</t>
  </si>
  <si>
    <t>HIP-100482</t>
  </si>
  <si>
    <t>HIP-100483</t>
  </si>
  <si>
    <t>2025-04-20</t>
  </si>
  <si>
    <t>HIP-100484</t>
  </si>
  <si>
    <t>2025-03-27</t>
  </si>
  <si>
    <t>HIP-100485</t>
  </si>
  <si>
    <t>HIP-100486</t>
  </si>
  <si>
    <t>2025-09-13</t>
  </si>
  <si>
    <t>HIP-100487</t>
  </si>
  <si>
    <t>HIP-100488</t>
  </si>
  <si>
    <t>HIP-100489</t>
  </si>
  <si>
    <t>2025-12-12</t>
  </si>
  <si>
    <t>HIP-100490</t>
  </si>
  <si>
    <t>HIP-100491</t>
  </si>
  <si>
    <t>HIP-100492</t>
  </si>
  <si>
    <t>HIP-100493</t>
  </si>
  <si>
    <t>HIP-100494</t>
  </si>
  <si>
    <t>HIP-100495</t>
  </si>
  <si>
    <t>HIP-100496</t>
  </si>
  <si>
    <t>HIP-100497</t>
  </si>
  <si>
    <t>HIP-100498</t>
  </si>
  <si>
    <t>2025-08-12</t>
  </si>
  <si>
    <t>HIP-100499</t>
  </si>
  <si>
    <t>HIP-100500</t>
  </si>
  <si>
    <t>HIP-100501</t>
  </si>
  <si>
    <t>HIP-100502</t>
  </si>
  <si>
    <t>HIP-100503</t>
  </si>
  <si>
    <t>HIP-100504</t>
  </si>
  <si>
    <t>2025-06-15</t>
  </si>
  <si>
    <t>HIP-100505</t>
  </si>
  <si>
    <t>HIP-100506</t>
  </si>
  <si>
    <t>HIP-100507</t>
  </si>
  <si>
    <t>HIP-100508</t>
  </si>
  <si>
    <t>HIP-100509</t>
  </si>
  <si>
    <t>2025-07-23</t>
  </si>
  <si>
    <t>HIP-100510</t>
  </si>
  <si>
    <t>HIP-100511</t>
  </si>
  <si>
    <t>HIP-100512</t>
  </si>
  <si>
    <t>2025-02-28</t>
  </si>
  <si>
    <t>HIP-100513</t>
  </si>
  <si>
    <t>HIP-100514</t>
  </si>
  <si>
    <t>HIP-100515</t>
  </si>
  <si>
    <t>HIP-100516</t>
  </si>
  <si>
    <t>HIP-100517</t>
  </si>
  <si>
    <t>HIP-100518</t>
  </si>
  <si>
    <t>HIP-100519</t>
  </si>
  <si>
    <t>HIP-100520</t>
  </si>
  <si>
    <t>HIP-100521</t>
  </si>
  <si>
    <t>2025-12-26</t>
  </si>
  <si>
    <t>HIP-100522</t>
  </si>
  <si>
    <t>HIP-100523</t>
  </si>
  <si>
    <t>HIP-100524</t>
  </si>
  <si>
    <t>HIP-100525</t>
  </si>
  <si>
    <t>HIP-100526</t>
  </si>
  <si>
    <t>HIP-100527</t>
  </si>
  <si>
    <t>HIP-100528</t>
  </si>
  <si>
    <t>HIP-100529</t>
  </si>
  <si>
    <t>HIP-100530</t>
  </si>
  <si>
    <t>HIP-100531</t>
  </si>
  <si>
    <t>HIP-100532</t>
  </si>
  <si>
    <t>HIP-100533</t>
  </si>
  <si>
    <t>2025-12-18</t>
  </si>
  <si>
    <t>HIP-100534</t>
  </si>
  <si>
    <t>HIP-100535</t>
  </si>
  <si>
    <t>2025-02-12</t>
  </si>
  <si>
    <t>HIP-100536</t>
  </si>
  <si>
    <t>HIP-100537</t>
  </si>
  <si>
    <t>2025-05-05</t>
  </si>
  <si>
    <t>HIP-100538</t>
  </si>
  <si>
    <t>HIP-100539</t>
  </si>
  <si>
    <t>HIP-100540</t>
  </si>
  <si>
    <t>HIP-100541</t>
  </si>
  <si>
    <t>2025-07-07</t>
  </si>
  <si>
    <t>HIP-100542</t>
  </si>
  <si>
    <t>HIP-100543</t>
  </si>
  <si>
    <t>HIP-100544</t>
  </si>
  <si>
    <t>HIP-100545</t>
  </si>
  <si>
    <t>HIP-100546</t>
  </si>
  <si>
    <t>HIP-100547</t>
  </si>
  <si>
    <t>HIP-100548</t>
  </si>
  <si>
    <t>HIP-100549</t>
  </si>
  <si>
    <t>HIP-100550</t>
  </si>
  <si>
    <t>HIP-100551</t>
  </si>
  <si>
    <t>HIP-100552</t>
  </si>
  <si>
    <t>HIP-100553</t>
  </si>
  <si>
    <t>HIP-100554</t>
  </si>
  <si>
    <t>HIP-100555</t>
  </si>
  <si>
    <t>HIP-100556</t>
  </si>
  <si>
    <t>2025-08-22</t>
  </si>
  <si>
    <t>HIP-100557</t>
  </si>
  <si>
    <t>HIP-100558</t>
  </si>
  <si>
    <t>HIP-100559</t>
  </si>
  <si>
    <t>HIP-100560</t>
  </si>
  <si>
    <t>2025-09-16</t>
  </si>
  <si>
    <t>HIP-100561</t>
  </si>
  <si>
    <t>HIP-100562</t>
  </si>
  <si>
    <t>HIP-100563</t>
  </si>
  <si>
    <t>HIP-100564</t>
  </si>
  <si>
    <t>HIP-100565</t>
  </si>
  <si>
    <t>HIP-100566</t>
  </si>
  <si>
    <t>HIP-100567</t>
  </si>
  <si>
    <t>HIP-100568</t>
  </si>
  <si>
    <t>HIP-100569</t>
  </si>
  <si>
    <t>HIP-100570</t>
  </si>
  <si>
    <t>HIP-100571</t>
  </si>
  <si>
    <t>2025-08-04</t>
  </si>
  <si>
    <t>HIP-100572</t>
  </si>
  <si>
    <t>HIP-100573</t>
  </si>
  <si>
    <t>HIP-100574</t>
  </si>
  <si>
    <t>HIP-100575</t>
  </si>
  <si>
    <t>2025-12-05</t>
  </si>
  <si>
    <t>HIP-100576</t>
  </si>
  <si>
    <t>HIP-100577</t>
  </si>
  <si>
    <t>HIP-100578</t>
  </si>
  <si>
    <t>HIP-100579</t>
  </si>
  <si>
    <t>HIP-100580</t>
  </si>
  <si>
    <t>2025-11-14</t>
  </si>
  <si>
    <t>HIP-100581</t>
  </si>
  <si>
    <t>2025-09-06</t>
  </si>
  <si>
    <t>HIP-100582</t>
  </si>
  <si>
    <t>HIP-100583</t>
  </si>
  <si>
    <t>HIP-100584</t>
  </si>
  <si>
    <t>HIP-100585</t>
  </si>
  <si>
    <t>HIP-100586</t>
  </si>
  <si>
    <t>2025-10-18</t>
  </si>
  <si>
    <t>HIP-100587</t>
  </si>
  <si>
    <t>HIP-100588</t>
  </si>
  <si>
    <t>HIP-100589</t>
  </si>
  <si>
    <t>2025-12-08</t>
  </si>
  <si>
    <t>HIP-100590</t>
  </si>
  <si>
    <t>2025-09-20</t>
  </si>
  <si>
    <t>HIP-100591</t>
  </si>
  <si>
    <t>HIP-100592</t>
  </si>
  <si>
    <t>HIP-100593</t>
  </si>
  <si>
    <t>2025-07-13</t>
  </si>
  <si>
    <t>HIP-100594</t>
  </si>
  <si>
    <t>2025-10-12</t>
  </si>
  <si>
    <t>HIP-100595</t>
  </si>
  <si>
    <t>HIP-100596</t>
  </si>
  <si>
    <t>HIP-100597</t>
  </si>
  <si>
    <t>HIP-100598</t>
  </si>
  <si>
    <t>HIP-100599</t>
  </si>
  <si>
    <t>HIP-100600</t>
  </si>
  <si>
    <t>HIP-100601</t>
  </si>
  <si>
    <t>HIP-100602</t>
  </si>
  <si>
    <t>HIP-100603</t>
  </si>
  <si>
    <t>HIP-100604</t>
  </si>
  <si>
    <t>HIP-100605</t>
  </si>
  <si>
    <t>2025-02-06</t>
  </si>
  <si>
    <t>HIP-100606</t>
  </si>
  <si>
    <t>HIP-100607</t>
  </si>
  <si>
    <t>HIP-100608</t>
  </si>
  <si>
    <t>HIP-100609</t>
  </si>
  <si>
    <t>HIP-100610</t>
  </si>
  <si>
    <t>HIP-100611</t>
  </si>
  <si>
    <t>2025-06-14</t>
  </si>
  <si>
    <t>HIP-100612</t>
  </si>
  <si>
    <t>HIP-100613</t>
  </si>
  <si>
    <t>HIP-100614</t>
  </si>
  <si>
    <t>HIP-100615</t>
  </si>
  <si>
    <t>2025-05-23</t>
  </si>
  <si>
    <t>HIP-100616</t>
  </si>
  <si>
    <t>HIP-100617</t>
  </si>
  <si>
    <t>HIP-100618</t>
  </si>
  <si>
    <t>HIP-100619</t>
  </si>
  <si>
    <t>HIP-100620</t>
  </si>
  <si>
    <t>HIP-100621</t>
  </si>
  <si>
    <t>HIP-100622</t>
  </si>
  <si>
    <t>HIP-100623</t>
  </si>
  <si>
    <t>HIP-100624</t>
  </si>
  <si>
    <t>HIP-100625</t>
  </si>
  <si>
    <t>HIP-100626</t>
  </si>
  <si>
    <t>HIP-100627</t>
  </si>
  <si>
    <t>HIP-100628</t>
  </si>
  <si>
    <t>HIP-100629</t>
  </si>
  <si>
    <t>HIP-100630</t>
  </si>
  <si>
    <t>2025-05-12</t>
  </si>
  <si>
    <t>HIP-100631</t>
  </si>
  <si>
    <t>2025-12-14</t>
  </si>
  <si>
    <t>HIP-100632</t>
  </si>
  <si>
    <t>HIP-100633</t>
  </si>
  <si>
    <t>HIP-100634</t>
  </si>
  <si>
    <t>HIP-100635</t>
  </si>
  <si>
    <t>2025-07-21</t>
  </si>
  <si>
    <t>HIP-100636</t>
  </si>
  <si>
    <t>HIP-100637</t>
  </si>
  <si>
    <t>HIP-100638</t>
  </si>
  <si>
    <t>HIP-100639</t>
  </si>
  <si>
    <t>HIP-100640</t>
  </si>
  <si>
    <t>HIP-100641</t>
  </si>
  <si>
    <t>HIP-100642</t>
  </si>
  <si>
    <t>HIP-100643</t>
  </si>
  <si>
    <t>HIP-100644</t>
  </si>
  <si>
    <t>HIP-100645</t>
  </si>
  <si>
    <t>HIP-100646</t>
  </si>
  <si>
    <t>HIP-100647</t>
  </si>
  <si>
    <t>HIP-100648</t>
  </si>
  <si>
    <t>HIP-100649</t>
  </si>
  <si>
    <t>HIP-100650</t>
  </si>
  <si>
    <t>2025-06-19</t>
  </si>
  <si>
    <t>HIP-100651</t>
  </si>
  <si>
    <t>HIP-100652</t>
  </si>
  <si>
    <t>HIP-100653</t>
  </si>
  <si>
    <t>2025-05-18</t>
  </si>
  <si>
    <t>HIP-100654</t>
  </si>
  <si>
    <t>HIP-100655</t>
  </si>
  <si>
    <t>2025-06-21</t>
  </si>
  <si>
    <t>HIP-100656</t>
  </si>
  <si>
    <t>HIP-100657</t>
  </si>
  <si>
    <t>2025-11-07</t>
  </si>
  <si>
    <t>HIP-100658</t>
  </si>
  <si>
    <t>HIP-100659</t>
  </si>
  <si>
    <t>HIP-100660</t>
  </si>
  <si>
    <t>HIP-100661</t>
  </si>
  <si>
    <t>HIP-100662</t>
  </si>
  <si>
    <t>2025-01-13</t>
  </si>
  <si>
    <t>HIP-100663</t>
  </si>
  <si>
    <t>HIP-100664</t>
  </si>
  <si>
    <t>HIP-100665</t>
  </si>
  <si>
    <t>HIP-100666</t>
  </si>
  <si>
    <t>HIP-100667</t>
  </si>
  <si>
    <t>HIP-100668</t>
  </si>
  <si>
    <t>HIP-100669</t>
  </si>
  <si>
    <t>HIP-100670</t>
  </si>
  <si>
    <t>2025-04-23</t>
  </si>
  <si>
    <t>HIP-100671</t>
  </si>
  <si>
    <t>HIP-100672</t>
  </si>
  <si>
    <t>HIP-100673</t>
  </si>
  <si>
    <t>HIP-100674</t>
  </si>
  <si>
    <t>HIP-100675</t>
  </si>
  <si>
    <t>HIP-100676</t>
  </si>
  <si>
    <t>2025-11-03</t>
  </si>
  <si>
    <t>HIP-100677</t>
  </si>
  <si>
    <t>HIP-100678</t>
  </si>
  <si>
    <t>HIP-100679</t>
  </si>
  <si>
    <t>HIP-100680</t>
  </si>
  <si>
    <t>2025-08-24</t>
  </si>
  <si>
    <t>HIP-100681</t>
  </si>
  <si>
    <t>HIP-100682</t>
  </si>
  <si>
    <t>HIP-100683</t>
  </si>
  <si>
    <t>HIP-100684</t>
  </si>
  <si>
    <t>HIP-100685</t>
  </si>
  <si>
    <t>HIP-100686</t>
  </si>
  <si>
    <t>HIP-100687</t>
  </si>
  <si>
    <t>HIP-100688</t>
  </si>
  <si>
    <t>HIP-100689</t>
  </si>
  <si>
    <t>HIP-100690</t>
  </si>
  <si>
    <t>HIP-100691</t>
  </si>
  <si>
    <t>HIP-100692</t>
  </si>
  <si>
    <t>HIP-100693</t>
  </si>
  <si>
    <t>HIP-100694</t>
  </si>
  <si>
    <t>HIP-100695</t>
  </si>
  <si>
    <t>HIP-100696</t>
  </si>
  <si>
    <t>HIP-100697</t>
  </si>
  <si>
    <t>HIP-100698</t>
  </si>
  <si>
    <t>HIP-100699</t>
  </si>
  <si>
    <t>2025-03-15</t>
  </si>
  <si>
    <t>HIP-100700</t>
  </si>
  <si>
    <t>HIP-100701</t>
  </si>
  <si>
    <t>HIP-100702</t>
  </si>
  <si>
    <t>HIP-100703</t>
  </si>
  <si>
    <t>HIP-100704</t>
  </si>
  <si>
    <t>HIP-100705</t>
  </si>
  <si>
    <t>HIP-100706</t>
  </si>
  <si>
    <t>HIP-100707</t>
  </si>
  <si>
    <t>HIP-100708</t>
  </si>
  <si>
    <t>HIP-100709</t>
  </si>
  <si>
    <t>HIP-100710</t>
  </si>
  <si>
    <t>HIP-100711</t>
  </si>
  <si>
    <t>HIP-100712</t>
  </si>
  <si>
    <t>HIP-100713</t>
  </si>
  <si>
    <t>HIP-100714</t>
  </si>
  <si>
    <t>HIP-100715</t>
  </si>
  <si>
    <t>HIP-100716</t>
  </si>
  <si>
    <t>HIP-100717</t>
  </si>
  <si>
    <t>2025-09-02</t>
  </si>
  <si>
    <t>HIP-100718</t>
  </si>
  <si>
    <t>HIP-100719</t>
  </si>
  <si>
    <t>HIP-100720</t>
  </si>
  <si>
    <t>HIP-100721</t>
  </si>
  <si>
    <t>HIP-100722</t>
  </si>
  <si>
    <t>HIP-100723</t>
  </si>
  <si>
    <t>HIP-100724</t>
  </si>
  <si>
    <t>HIP-100725</t>
  </si>
  <si>
    <t>HIP-100726</t>
  </si>
  <si>
    <t>HIP-100727</t>
  </si>
  <si>
    <t>HIP-100728</t>
  </si>
  <si>
    <t>HIP-100729</t>
  </si>
  <si>
    <t>HIP-100730</t>
  </si>
  <si>
    <t>HIP-100731</t>
  </si>
  <si>
    <t>2025-11-22</t>
  </si>
  <si>
    <t>HIP-100732</t>
  </si>
  <si>
    <t>2025-01-04</t>
  </si>
  <si>
    <t>HIP-100733</t>
  </si>
  <si>
    <t>HIP-100734</t>
  </si>
  <si>
    <t>HIP-100735</t>
  </si>
  <si>
    <t>HIP-100736</t>
  </si>
  <si>
    <t>HIP-100737</t>
  </si>
  <si>
    <t>HIP-100738</t>
  </si>
  <si>
    <t>HIP-100739</t>
  </si>
  <si>
    <t>HIP-100740</t>
  </si>
  <si>
    <t>HIP-100741</t>
  </si>
  <si>
    <t>HIP-100742</t>
  </si>
  <si>
    <t>HIP-100743</t>
  </si>
  <si>
    <t>HIP-100744</t>
  </si>
  <si>
    <t>2025-11-10</t>
  </si>
  <si>
    <t>HIP-100745</t>
  </si>
  <si>
    <t>HIP-100746</t>
  </si>
  <si>
    <t>HIP-100747</t>
  </si>
  <si>
    <t>HIP-100748</t>
  </si>
  <si>
    <t>HIP-100749</t>
  </si>
  <si>
    <t>HIP-100750</t>
  </si>
  <si>
    <t>HIP-100751</t>
  </si>
  <si>
    <t>HIP-100752</t>
  </si>
  <si>
    <t>HIP-100753</t>
  </si>
  <si>
    <t>HIP-100754</t>
  </si>
  <si>
    <t>2025-04-05</t>
  </si>
  <si>
    <t>HIP-100755</t>
  </si>
  <si>
    <t>HIP-100756</t>
  </si>
  <si>
    <t>HIP-100757</t>
  </si>
  <si>
    <t>2025-08-07</t>
  </si>
  <si>
    <t>HIP-100758</t>
  </si>
  <si>
    <t>HIP-100759</t>
  </si>
  <si>
    <t>HIP-100760</t>
  </si>
  <si>
    <t>HIP-100761</t>
  </si>
  <si>
    <t>HIP-100762</t>
  </si>
  <si>
    <t>HIP-100763</t>
  </si>
  <si>
    <t>HIP-100764</t>
  </si>
  <si>
    <t>HIP-100765</t>
  </si>
  <si>
    <t>HIP-100766</t>
  </si>
  <si>
    <t>HIP-100767</t>
  </si>
  <si>
    <t>2025-04-26</t>
  </si>
  <si>
    <t>HIP-100768</t>
  </si>
  <si>
    <t>HIP-100769</t>
  </si>
  <si>
    <t>HIP-100770</t>
  </si>
  <si>
    <t>HIP-100771</t>
  </si>
  <si>
    <t>HIP-100772</t>
  </si>
  <si>
    <t>HIP-100773</t>
  </si>
  <si>
    <t>HIP-100774</t>
  </si>
  <si>
    <t>HIP-100775</t>
  </si>
  <si>
    <t>HIP-100776</t>
  </si>
  <si>
    <t>2025-09-25</t>
  </si>
  <si>
    <t>HIP-100777</t>
  </si>
  <si>
    <t>HIP-100778</t>
  </si>
  <si>
    <t>HIP-100779</t>
  </si>
  <si>
    <t>HIP-100780</t>
  </si>
  <si>
    <t>HIP-100781</t>
  </si>
  <si>
    <t>HIP-100782</t>
  </si>
  <si>
    <t>HIP-100783</t>
  </si>
  <si>
    <t>HIP-100784</t>
  </si>
  <si>
    <t>HIP-100785</t>
  </si>
  <si>
    <t>HIP-100786</t>
  </si>
  <si>
    <t>HIP-100787</t>
  </si>
  <si>
    <t>HIP-100788</t>
  </si>
  <si>
    <t>HIP-100789</t>
  </si>
  <si>
    <t>HIP-100790</t>
  </si>
  <si>
    <t>HIP-100791</t>
  </si>
  <si>
    <t>HIP-100792</t>
  </si>
  <si>
    <t>HIP-100793</t>
  </si>
  <si>
    <t>HIP-100794</t>
  </si>
  <si>
    <t>HIP-100795</t>
  </si>
  <si>
    <t>HIP-100796</t>
  </si>
  <si>
    <t>HIP-100797</t>
  </si>
  <si>
    <t>HIP-100798</t>
  </si>
  <si>
    <t>2025-05-04</t>
  </si>
  <si>
    <t>HIP-100799</t>
  </si>
  <si>
    <t>HIP-100800</t>
  </si>
  <si>
    <t>HIP-100801</t>
  </si>
  <si>
    <t>HIP-100802</t>
  </si>
  <si>
    <t>HIP-100803</t>
  </si>
  <si>
    <t>HIP-100804</t>
  </si>
  <si>
    <t>HIP-100805</t>
  </si>
  <si>
    <t>HIP-100806</t>
  </si>
  <si>
    <t>HIP-100807</t>
  </si>
  <si>
    <t>HIP-100808</t>
  </si>
  <si>
    <t>HIP-100809</t>
  </si>
  <si>
    <t>HIP-100810</t>
  </si>
  <si>
    <t>HIP-100811</t>
  </si>
  <si>
    <t>HIP-100812</t>
  </si>
  <si>
    <t>HIP-100813</t>
  </si>
  <si>
    <t>HIP-100814</t>
  </si>
  <si>
    <t>HIP-100815</t>
  </si>
  <si>
    <t>HIP-100816</t>
  </si>
  <si>
    <t>HIP-100817</t>
  </si>
  <si>
    <t>HIP-100818</t>
  </si>
  <si>
    <t>HIP-100819</t>
  </si>
  <si>
    <t>2025-03-09</t>
  </si>
  <si>
    <t>HIP-100820</t>
  </si>
  <si>
    <t>HIP-100821</t>
  </si>
  <si>
    <t>HIP-100822</t>
  </si>
  <si>
    <t>HIP-100823</t>
  </si>
  <si>
    <t>HIP-100824</t>
  </si>
  <si>
    <t>HIP-100825</t>
  </si>
  <si>
    <t>HIP-100826</t>
  </si>
  <si>
    <t>HIP-100827</t>
  </si>
  <si>
    <t>HIP-100828</t>
  </si>
  <si>
    <t>2025-08-14</t>
  </si>
  <si>
    <t>HIP-100829</t>
  </si>
  <si>
    <t>HIP-100830</t>
  </si>
  <si>
    <t>HIP-100831</t>
  </si>
  <si>
    <t>HIP-100832</t>
  </si>
  <si>
    <t>HIP-100833</t>
  </si>
  <si>
    <t>2025-06-22</t>
  </si>
  <si>
    <t>HIP-100834</t>
  </si>
  <si>
    <t>HIP-100835</t>
  </si>
  <si>
    <t>HIP-100836</t>
  </si>
  <si>
    <t>HIP-100837</t>
  </si>
  <si>
    <t>HIP-100838</t>
  </si>
  <si>
    <t>HIP-100839</t>
  </si>
  <si>
    <t>HIP-100840</t>
  </si>
  <si>
    <t>HIP-100841</t>
  </si>
  <si>
    <t>2025-03-13</t>
  </si>
  <si>
    <t>HIP-100842</t>
  </si>
  <si>
    <t>HIP-100843</t>
  </si>
  <si>
    <t>HIP-100844</t>
  </si>
  <si>
    <t>HIP-100845</t>
  </si>
  <si>
    <t>HIP-100846</t>
  </si>
  <si>
    <t>HIP-100847</t>
  </si>
  <si>
    <t>HIP-100848</t>
  </si>
  <si>
    <t>2025-11-18</t>
  </si>
  <si>
    <t>HIP-100849</t>
  </si>
  <si>
    <t>HIP-100850</t>
  </si>
  <si>
    <t>HIP-100851</t>
  </si>
  <si>
    <t>HIP-100852</t>
  </si>
  <si>
    <t>HIP-100853</t>
  </si>
  <si>
    <t>HIP-100854</t>
  </si>
  <si>
    <t>HIP-100855</t>
  </si>
  <si>
    <t>HIP-100856</t>
  </si>
  <si>
    <t>HIP-100857</t>
  </si>
  <si>
    <t>2025-01-19</t>
  </si>
  <si>
    <t>HIP-100858</t>
  </si>
  <si>
    <t>HIP-100859</t>
  </si>
  <si>
    <t>HIP-100860</t>
  </si>
  <si>
    <t>HIP-100861</t>
  </si>
  <si>
    <t>HIP-100862</t>
  </si>
  <si>
    <t>HIP-100863</t>
  </si>
  <si>
    <t>HIP-100864</t>
  </si>
  <si>
    <t>HIP-100865</t>
  </si>
  <si>
    <t>HIP-100866</t>
  </si>
  <si>
    <t>HIP-100867</t>
  </si>
  <si>
    <t>HIP-100868</t>
  </si>
  <si>
    <t>HIP-100869</t>
  </si>
  <si>
    <t>2025-09-27</t>
  </si>
  <si>
    <t>HIP-100870</t>
  </si>
  <si>
    <t>HIP-100871</t>
  </si>
  <si>
    <t>HIP-100872</t>
  </si>
  <si>
    <t>HIP-100873</t>
  </si>
  <si>
    <t>HIP-100874</t>
  </si>
  <si>
    <t>HIP-100875</t>
  </si>
  <si>
    <t>HIP-100876</t>
  </si>
  <si>
    <t>HIP-100877</t>
  </si>
  <si>
    <t>HIP-100878</t>
  </si>
  <si>
    <t>HIP-100879</t>
  </si>
  <si>
    <t>HIP-100880</t>
  </si>
  <si>
    <t>HIP-100881</t>
  </si>
  <si>
    <t>HIP-100882</t>
  </si>
  <si>
    <t>HIP-100883</t>
  </si>
  <si>
    <t>HIP-100884</t>
  </si>
  <si>
    <t>HIP-100885</t>
  </si>
  <si>
    <t>HIP-100886</t>
  </si>
  <si>
    <t>HIP-100887</t>
  </si>
  <si>
    <t>HIP-100888</t>
  </si>
  <si>
    <t>HIP-100889</t>
  </si>
  <si>
    <t>HIP-100890</t>
  </si>
  <si>
    <t>HIP-100891</t>
  </si>
  <si>
    <t>HIP-100892</t>
  </si>
  <si>
    <t>HIP-100893</t>
  </si>
  <si>
    <t>HIP-100894</t>
  </si>
  <si>
    <t>HIP-100895</t>
  </si>
  <si>
    <t>HIP-100896</t>
  </si>
  <si>
    <t>HIP-100897</t>
  </si>
  <si>
    <t>HIP-100898</t>
  </si>
  <si>
    <t>HIP-100899</t>
  </si>
  <si>
    <t>HIP-100900</t>
  </si>
  <si>
    <t>HIP-100901</t>
  </si>
  <si>
    <t>HIP-100902</t>
  </si>
  <si>
    <t>HIP-100903</t>
  </si>
  <si>
    <t>HIP-100904</t>
  </si>
  <si>
    <t>HIP-100905</t>
  </si>
  <si>
    <t>HIP-100906</t>
  </si>
  <si>
    <t>HIP-100907</t>
  </si>
  <si>
    <t>HIP-100908</t>
  </si>
  <si>
    <t>HIP-100909</t>
  </si>
  <si>
    <t>HIP-100910</t>
  </si>
  <si>
    <t>HIP-100911</t>
  </si>
  <si>
    <t>HIP-100912</t>
  </si>
  <si>
    <t>HIP-100913</t>
  </si>
  <si>
    <t>HIP-100914</t>
  </si>
  <si>
    <t>HIP-100915</t>
  </si>
  <si>
    <t>HIP-100916</t>
  </si>
  <si>
    <t>HIP-100917</t>
  </si>
  <si>
    <t>HIP-100918</t>
  </si>
  <si>
    <t>HIP-100919</t>
  </si>
  <si>
    <t>HIP-100920</t>
  </si>
  <si>
    <t>HIP-100921</t>
  </si>
  <si>
    <t>HIP-100922</t>
  </si>
  <si>
    <t>HIP-100923</t>
  </si>
  <si>
    <t>HIP-100924</t>
  </si>
  <si>
    <t>HIP-100925</t>
  </si>
  <si>
    <t>HIP-100926</t>
  </si>
  <si>
    <t>HIP-100927</t>
  </si>
  <si>
    <t>HIP-100928</t>
  </si>
  <si>
    <t>HIP-100929</t>
  </si>
  <si>
    <t>HIP-100930</t>
  </si>
  <si>
    <t>HIP-100931</t>
  </si>
  <si>
    <t>HIP-100932</t>
  </si>
  <si>
    <t>HIP-100933</t>
  </si>
  <si>
    <t>HIP-100934</t>
  </si>
  <si>
    <t>HIP-100935</t>
  </si>
  <si>
    <t>HIP-100936</t>
  </si>
  <si>
    <t>HIP-100937</t>
  </si>
  <si>
    <t>2025-07-16</t>
  </si>
  <si>
    <t>HIP-100938</t>
  </si>
  <si>
    <t>HIP-100939</t>
  </si>
  <si>
    <t>HIP-100940</t>
  </si>
  <si>
    <t>HIP-100941</t>
  </si>
  <si>
    <t>HIP-100942</t>
  </si>
  <si>
    <t>HIP-100943</t>
  </si>
  <si>
    <t>HIP-100944</t>
  </si>
  <si>
    <t>HIP-100945</t>
  </si>
  <si>
    <t>HIP-100946</t>
  </si>
  <si>
    <t>2025-11-24</t>
  </si>
  <si>
    <t>HIP-100947</t>
  </si>
  <si>
    <t>HIP-100948</t>
  </si>
  <si>
    <t>HIP-100949</t>
  </si>
  <si>
    <t>HIP-100950</t>
  </si>
  <si>
    <t>HIP-100951</t>
  </si>
  <si>
    <t>HIP-100952</t>
  </si>
  <si>
    <t>HIP-100953</t>
  </si>
  <si>
    <t>HIP-100954</t>
  </si>
  <si>
    <t>HIP-100955</t>
  </si>
  <si>
    <t>HIP-100956</t>
  </si>
  <si>
    <t>HIP-100957</t>
  </si>
  <si>
    <t>HIP-100958</t>
  </si>
  <si>
    <t>HIP-100959</t>
  </si>
  <si>
    <t>HIP-100960</t>
  </si>
  <si>
    <t>HIP-100961</t>
  </si>
  <si>
    <t>HIP-100962</t>
  </si>
  <si>
    <t>HIP-100963</t>
  </si>
  <si>
    <t>HIP-100964</t>
  </si>
  <si>
    <t>HIP-100965</t>
  </si>
  <si>
    <t>HIP-100966</t>
  </si>
  <si>
    <t>HIP-100967</t>
  </si>
  <si>
    <t>HIP-100968</t>
  </si>
  <si>
    <t>HIP-100969</t>
  </si>
  <si>
    <t>HIP-100970</t>
  </si>
  <si>
    <t>HIP-100971</t>
  </si>
  <si>
    <t>HIP-100972</t>
  </si>
  <si>
    <t>HIP-100973</t>
  </si>
  <si>
    <t>HIP-100974</t>
  </si>
  <si>
    <t>HIP-100975</t>
  </si>
  <si>
    <t>HIP-100976</t>
  </si>
  <si>
    <t>HIP-100977</t>
  </si>
  <si>
    <t>HIP-100978</t>
  </si>
  <si>
    <t>HIP-100979</t>
  </si>
  <si>
    <t>HIP-100980</t>
  </si>
  <si>
    <t>HIP-100981</t>
  </si>
  <si>
    <t>HIP-100982</t>
  </si>
  <si>
    <t>HIP-100983</t>
  </si>
  <si>
    <t>HIP-100984</t>
  </si>
  <si>
    <t>HIP-100985</t>
  </si>
  <si>
    <t>HIP-100986</t>
  </si>
  <si>
    <t>HIP-100987</t>
  </si>
  <si>
    <t>HIP-100988</t>
  </si>
  <si>
    <t>HIP-100989</t>
  </si>
  <si>
    <t>HIP-100990</t>
  </si>
  <si>
    <t>HIP-100991</t>
  </si>
  <si>
    <t>HIP-100992</t>
  </si>
  <si>
    <t>HIP-100993</t>
  </si>
  <si>
    <t>HIP-100994</t>
  </si>
  <si>
    <t>HIP-100995</t>
  </si>
  <si>
    <t>HIP-100996</t>
  </si>
  <si>
    <t>HIP-100997</t>
  </si>
  <si>
    <t>HIP-100998</t>
  </si>
  <si>
    <t>HIP-100999</t>
  </si>
  <si>
    <t>HIP-101000</t>
  </si>
  <si>
    <t>HIP-101001</t>
  </si>
  <si>
    <t>HIP-101002</t>
  </si>
  <si>
    <t>HIP-101003</t>
  </si>
  <si>
    <t>HIP-101004</t>
  </si>
  <si>
    <t>HIP-101005</t>
  </si>
  <si>
    <t>HIP-101006</t>
  </si>
  <si>
    <t>HIP-101007</t>
  </si>
  <si>
    <t>HIP-101008</t>
  </si>
  <si>
    <t>HIP-101009</t>
  </si>
  <si>
    <t>HIP-101010</t>
  </si>
  <si>
    <t>HIP-101011</t>
  </si>
  <si>
    <t>HIP-101012</t>
  </si>
  <si>
    <t>HIP-101013</t>
  </si>
  <si>
    <t>HIP-101014</t>
  </si>
  <si>
    <t>HIP-101015</t>
  </si>
  <si>
    <t>HIP-101016</t>
  </si>
  <si>
    <t>HIP-101017</t>
  </si>
  <si>
    <t>HIP-101018</t>
  </si>
  <si>
    <t>HIP-101019</t>
  </si>
  <si>
    <t>HIP-101020</t>
  </si>
  <si>
    <t>HIP-101021</t>
  </si>
  <si>
    <t>HIP-101022</t>
  </si>
  <si>
    <t>HIP-101023</t>
  </si>
  <si>
    <t>HIP-101024</t>
  </si>
  <si>
    <t>HIP-101025</t>
  </si>
  <si>
    <t>HIP-101026</t>
  </si>
  <si>
    <t>HIP-101027</t>
  </si>
  <si>
    <t>HIP-101028</t>
  </si>
  <si>
    <t>HIP-101029</t>
  </si>
  <si>
    <t>HIP-101030</t>
  </si>
  <si>
    <t>HIP-101031</t>
  </si>
  <si>
    <t>HIP-101032</t>
  </si>
  <si>
    <t>HIP-101033</t>
  </si>
  <si>
    <t>HIP-101034</t>
  </si>
  <si>
    <t>HIP-101035</t>
  </si>
  <si>
    <t>HIP-101036</t>
  </si>
  <si>
    <t>HIP-101037</t>
  </si>
  <si>
    <t>HIP-101038</t>
  </si>
  <si>
    <t>HIP-101039</t>
  </si>
  <si>
    <t>HIP-101040</t>
  </si>
  <si>
    <t>HIP-101041</t>
  </si>
  <si>
    <t>HIP-101042</t>
  </si>
  <si>
    <t>HIP-101043</t>
  </si>
  <si>
    <t>HIP-101044</t>
  </si>
  <si>
    <t>HIP-101045</t>
  </si>
  <si>
    <t>HIP-101046</t>
  </si>
  <si>
    <t>HIP-101047</t>
  </si>
  <si>
    <t>HIP-101048</t>
  </si>
  <si>
    <t>HIP-101049</t>
  </si>
  <si>
    <t>HIP-101050</t>
  </si>
  <si>
    <t>HIP-101051</t>
  </si>
  <si>
    <t>HIP-101052</t>
  </si>
  <si>
    <t>HIP-101053</t>
  </si>
  <si>
    <t>HIP-101054</t>
  </si>
  <si>
    <t>HIP-101055</t>
  </si>
  <si>
    <t>HIP-101056</t>
  </si>
  <si>
    <t>HIP-101057</t>
  </si>
  <si>
    <t>HIP-101058</t>
  </si>
  <si>
    <t>HIP-101059</t>
  </si>
  <si>
    <t>HIP-101060</t>
  </si>
  <si>
    <t>HIP-101061</t>
  </si>
  <si>
    <t>HIP-101062</t>
  </si>
  <si>
    <t>HIP-101063</t>
  </si>
  <si>
    <t>HIP-101064</t>
  </si>
  <si>
    <t>HIP-101065</t>
  </si>
  <si>
    <t>HIP-101066</t>
  </si>
  <si>
    <t>HIP-101067</t>
  </si>
  <si>
    <t>HIP-101068</t>
  </si>
  <si>
    <t>HIP-101069</t>
  </si>
  <si>
    <t>2025-03-07</t>
  </si>
  <si>
    <t>HIP-101070</t>
  </si>
  <si>
    <t>HIP-101071</t>
  </si>
  <si>
    <t>HIP-101072</t>
  </si>
  <si>
    <t>HIP-101073</t>
  </si>
  <si>
    <t>HIP-101074</t>
  </si>
  <si>
    <t>HIP-101075</t>
  </si>
  <si>
    <t>HIP-101076</t>
  </si>
  <si>
    <t>HIP-101077</t>
  </si>
  <si>
    <t>HIP-101078</t>
  </si>
  <si>
    <t>HIP-101079</t>
  </si>
  <si>
    <t>HIP-101080</t>
  </si>
  <si>
    <t>HIP-101081</t>
  </si>
  <si>
    <t>HIP-101082</t>
  </si>
  <si>
    <t>HIP-101083</t>
  </si>
  <si>
    <t>HIP-101084</t>
  </si>
  <si>
    <t>HIP-101085</t>
  </si>
  <si>
    <t>HIP-101086</t>
  </si>
  <si>
    <t>HIP-101087</t>
  </si>
  <si>
    <t>HIP-101088</t>
  </si>
  <si>
    <t>HIP-101089</t>
  </si>
  <si>
    <t>HIP-101090</t>
  </si>
  <si>
    <t>HIP-101091</t>
  </si>
  <si>
    <t>HIP-101092</t>
  </si>
  <si>
    <t>HIP-101093</t>
  </si>
  <si>
    <t>HIP-101094</t>
  </si>
  <si>
    <t>HIP-101095</t>
  </si>
  <si>
    <t>HIP-101096</t>
  </si>
  <si>
    <t>HIP-101097</t>
  </si>
  <si>
    <t>HIP-101098</t>
  </si>
  <si>
    <t>HIP-101099</t>
  </si>
  <si>
    <t>HIP-101100</t>
  </si>
  <si>
    <t>HIP-101101</t>
  </si>
  <si>
    <t>HIP-101102</t>
  </si>
  <si>
    <t>HIP-101103</t>
  </si>
  <si>
    <t>HIP-101104</t>
  </si>
  <si>
    <t>HIP-101105</t>
  </si>
  <si>
    <t>HIP-101106</t>
  </si>
  <si>
    <t>HIP-101107</t>
  </si>
  <si>
    <t>HIP-101108</t>
  </si>
  <si>
    <t>HIP-101109</t>
  </si>
  <si>
    <t>HIP-101110</t>
  </si>
  <si>
    <t>2025-01-02</t>
  </si>
  <si>
    <t>HIP-101111</t>
  </si>
  <si>
    <t>HIP-101112</t>
  </si>
  <si>
    <t>HIP-101113</t>
  </si>
  <si>
    <t>HIP-101114</t>
  </si>
  <si>
    <t>HIP-101115</t>
  </si>
  <si>
    <t>HIP-101116</t>
  </si>
  <si>
    <t>2025-10-23</t>
  </si>
  <si>
    <t>HIP-101117</t>
  </si>
  <si>
    <t>HIP-101118</t>
  </si>
  <si>
    <t>HIP-101119</t>
  </si>
  <si>
    <t>HIP-101120</t>
  </si>
  <si>
    <t>HIP-101121</t>
  </si>
  <si>
    <t>HIP-101122</t>
  </si>
  <si>
    <t>HIP-101123</t>
  </si>
  <si>
    <t>HIP-101124</t>
  </si>
  <si>
    <t>HIP-101125</t>
  </si>
  <si>
    <t>HIP-101126</t>
  </si>
  <si>
    <t>HIP-101127</t>
  </si>
  <si>
    <t>HIP-101128</t>
  </si>
  <si>
    <t>HIP-101129</t>
  </si>
  <si>
    <t>HIP-101130</t>
  </si>
  <si>
    <t>HIP-101131</t>
  </si>
  <si>
    <t>HIP-101132</t>
  </si>
  <si>
    <t>HIP-101133</t>
  </si>
  <si>
    <t>HIP-101134</t>
  </si>
  <si>
    <t>HIP-101135</t>
  </si>
  <si>
    <t>HIP-101136</t>
  </si>
  <si>
    <t>HIP-101137</t>
  </si>
  <si>
    <t>HIP-101138</t>
  </si>
  <si>
    <t>HIP-101139</t>
  </si>
  <si>
    <t>HIP-101140</t>
  </si>
  <si>
    <t>HIP-101141</t>
  </si>
  <si>
    <t>HIP-101142</t>
  </si>
  <si>
    <t>HIP-101143</t>
  </si>
  <si>
    <t>HIP-101144</t>
  </si>
  <si>
    <t>HIP-101145</t>
  </si>
  <si>
    <t>HIP-101146</t>
  </si>
  <si>
    <t>HIP-101147</t>
  </si>
  <si>
    <t>2025-08-01</t>
  </si>
  <si>
    <t>HIP-101148</t>
  </si>
  <si>
    <t>HIP-101149</t>
  </si>
  <si>
    <t>HIP-101150</t>
  </si>
  <si>
    <t>HIP-101151</t>
  </si>
  <si>
    <t>HIP-101152</t>
  </si>
  <si>
    <t>HIP-101153</t>
  </si>
  <si>
    <t>HIP-101154</t>
  </si>
  <si>
    <t>HIP-101155</t>
  </si>
  <si>
    <t>HIP-101156</t>
  </si>
  <si>
    <t>HIP-101157</t>
  </si>
  <si>
    <t>HIP-101158</t>
  </si>
  <si>
    <t>HIP-101159</t>
  </si>
  <si>
    <t>HIP-101160</t>
  </si>
  <si>
    <t>HIP-101161</t>
  </si>
  <si>
    <t>HIP-101162</t>
  </si>
  <si>
    <t>HIP-101163</t>
  </si>
  <si>
    <t>HIP-101164</t>
  </si>
  <si>
    <t>HIP-101165</t>
  </si>
  <si>
    <t>HIP-101166</t>
  </si>
  <si>
    <t>HIP-101167</t>
  </si>
  <si>
    <t>HIP-101168</t>
  </si>
  <si>
    <t>HIP-101169</t>
  </si>
  <si>
    <t>HIP-101170</t>
  </si>
  <si>
    <t>HIP-101171</t>
  </si>
  <si>
    <t>HIP-101172</t>
  </si>
  <si>
    <t>HIP-101173</t>
  </si>
  <si>
    <t>HIP-101174</t>
  </si>
  <si>
    <t>HIP-101175</t>
  </si>
  <si>
    <t>HIP-101176</t>
  </si>
  <si>
    <t>HIP-101177</t>
  </si>
  <si>
    <t>HIP-101178</t>
  </si>
  <si>
    <t>HIP-101179</t>
  </si>
  <si>
    <t>HIP-101180</t>
  </si>
  <si>
    <t>HIP-101181</t>
  </si>
  <si>
    <t>HIP-101182</t>
  </si>
  <si>
    <t>HIP-101183</t>
  </si>
  <si>
    <t>HIP-101184</t>
  </si>
  <si>
    <t>HIP-101185</t>
  </si>
  <si>
    <t>HIP-101186</t>
  </si>
  <si>
    <t>HIP-101187</t>
  </si>
  <si>
    <t>HIP-101188</t>
  </si>
  <si>
    <t>HIP-101189</t>
  </si>
  <si>
    <t>HIP-101190</t>
  </si>
  <si>
    <t>HIP-101191</t>
  </si>
  <si>
    <t>HIP-101192</t>
  </si>
  <si>
    <t>2025-04-02</t>
  </si>
  <si>
    <t>HIP-101193</t>
  </si>
  <si>
    <t>HIP-101194</t>
  </si>
  <si>
    <t>HIP-101195</t>
  </si>
  <si>
    <t>HIP-101196</t>
  </si>
  <si>
    <t>HIP-101197</t>
  </si>
  <si>
    <t>HIP-101198</t>
  </si>
  <si>
    <t>HIP-101199</t>
  </si>
  <si>
    <t>HIP-101200</t>
  </si>
  <si>
    <t>Datos simulados para ejercicio de clase. Montos en UF. Banco Santander Chile (ficticio).</t>
  </si>
  <si>
    <t>N° Créditos</t>
  </si>
  <si>
    <t>Monto Total UF</t>
  </si>
  <si>
    <t>Monto Promedio UF</t>
  </si>
  <si>
    <t>Tasa Promedio %</t>
  </si>
  <si>
    <t>LTV Promedio %</t>
  </si>
  <si>
    <t>Total</t>
  </si>
  <si>
    <t>Dashboard dinámico de créditos hipotecarios</t>
  </si>
  <si>
    <t>Vista por segmento</t>
  </si>
  <si>
    <t>Vista por región</t>
  </si>
  <si>
    <t>Vista por estado</t>
  </si>
  <si>
    <t>1.200 operaciones | Vistas por segmento, región y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</si>
</sst>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8"/>
      <color rgb="FF888888"/>
      <name val="Arial"/>
      <family val="2"/>
    </font>
    <font>
      <b/>
      <sz val="10"/>
      <name val="Arial"/>
      <family val="2"/>
    </font>
    <font>
      <sz val="11"/>
      <color theme="1"/>
      <name val="Aptos"/>
    </font>
    <font>
      <b/>
      <sz val="20"/>
      <color rgb="FFFFFFFF"/>
      <name val="Aptos"/>
    </font>
    <font>
      <sz val="11"/>
      <color rgb="FF52606D"/>
      <name val="Aptos"/>
    </font>
    <font>
      <b/>
      <sz val="11"/>
      <color rgb="FF17365D"/>
      <name val="Aptos"/>
    </font>
    <font>
      <i/>
      <sz val="11"/>
      <color rgb="FF52606D"/>
      <name val="Aptos"/>
    </font>
  </fonts>
  <fills count="5">
    <fill>
      <patternFill patternType="none"/>
    </fill>
    <fill>
      <patternFill patternType="gray125"/>
    </fill>
    <fill>
      <patternFill patternType="solid">
        <fgColor rgb="FF003087"/>
        <bgColor rgb="FF333399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/>
    <xf numFmtId="3" fontId="2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pivotButton="1" applyFont="1"/>
    <xf numFmtId="3" fontId="5" fillId="0" borderId="0" xfId="0" applyNumberFormat="1" applyFont="1"/>
    <xf numFmtId="2" fontId="5" fillId="0" borderId="0" xfId="0" applyNumberFormat="1" applyFont="1"/>
    <xf numFmtId="3" fontId="0" fillId="0" borderId="0" xfId="0" applyNumberFormat="1"/>
    <xf numFmtId="2" fontId="0" fillId="0" borderId="0" xfId="0" applyNumberFormat="1"/>
    <xf numFmtId="0" fontId="6" fillId="3" borderId="0" xfId="0" applyFont="1" applyFill="1"/>
    <xf numFmtId="0" fontId="5" fillId="3" borderId="0" xfId="0" applyFont="1" applyFill="1"/>
    <xf numFmtId="0" fontId="9" fillId="0" borderId="0" xfId="0" applyFont="1"/>
    <xf numFmtId="0" fontId="7" fillId="0" borderId="0" xfId="0" applyFont="1"/>
    <xf numFmtId="0" fontId="8" fillId="4" borderId="0" xfId="0" applyFont="1" applyFill="1"/>
  </cellXfs>
  <cellStyles count="1">
    <cellStyle name="Normal" xfId="0" builtinId="0"/>
  </cellStyles>
  <dxfs count="21">
    <dxf>
      <numFmt numFmtId="2" formatCode="0.00"/>
    </dxf>
    <dxf>
      <numFmt numFmtId="3" formatCode="#,##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numFmt numFmtId="3" formatCode="#,##0"/>
    </dxf>
    <dxf>
      <numFmt numFmtId="3" formatCode="#,##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3" formatCode="#,##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087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Número de créditos 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N° Créditos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Data'!$A$2:$A$6</c:f>
              <c:strCache>
                <c:ptCount val="5"/>
                <c:pt idx="0">
                  <c:v>Personas</c:v>
                </c:pt>
                <c:pt idx="1">
                  <c:v>Private Banking</c:v>
                </c:pt>
                <c:pt idx="2">
                  <c:v>Pyme</c:v>
                </c:pt>
                <c:pt idx="3">
                  <c:v>Select</c:v>
                </c:pt>
                <c:pt idx="4">
                  <c:v>Universitario</c:v>
                </c:pt>
              </c:strCache>
            </c:strRef>
          </c:cat>
          <c:val>
            <c:numRef>
              <c:f>'Chart Data'!$B$2:$B$6</c:f>
              <c:numCache>
                <c:formatCode>#,##0</c:formatCode>
                <c:ptCount val="5"/>
                <c:pt idx="0">
                  <c:v>254</c:v>
                </c:pt>
                <c:pt idx="1">
                  <c:v>245</c:v>
                </c:pt>
                <c:pt idx="2">
                  <c:v>221</c:v>
                </c:pt>
                <c:pt idx="3">
                  <c:v>240</c:v>
                </c:pt>
                <c:pt idx="4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8-2C4F-A3B6-AA722C45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459200"/>
        <c:axId val="1550464128"/>
      </c:barChart>
      <c:catAx>
        <c:axId val="15504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50464128"/>
        <c:crosses val="autoZero"/>
        <c:auto val="1"/>
        <c:lblAlgn val="ctr"/>
        <c:lblOffset val="100"/>
        <c:noMultiLvlLbl val="0"/>
      </c:catAx>
      <c:valAx>
        <c:axId val="155046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504592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anual promedio 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Tasa Promedio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Data'!$D$2:$D$6</c:f>
              <c:strCache>
                <c:ptCount val="5"/>
                <c:pt idx="0">
                  <c:v>Personas</c:v>
                </c:pt>
                <c:pt idx="1">
                  <c:v>Private Banking</c:v>
                </c:pt>
                <c:pt idx="2">
                  <c:v>Pyme</c:v>
                </c:pt>
                <c:pt idx="3">
                  <c:v>Select</c:v>
                </c:pt>
                <c:pt idx="4">
                  <c:v>Universitario</c:v>
                </c:pt>
              </c:strCache>
            </c:strRef>
          </c:cat>
          <c:val>
            <c:numRef>
              <c:f>'Chart Data'!$E$2:$E$6</c:f>
              <c:numCache>
                <c:formatCode>0.00</c:formatCode>
                <c:ptCount val="5"/>
                <c:pt idx="0">
                  <c:v>4.7931496062992114</c:v>
                </c:pt>
                <c:pt idx="1">
                  <c:v>4.8734693877550992</c:v>
                </c:pt>
                <c:pt idx="2">
                  <c:v>4.8464705882352961</c:v>
                </c:pt>
                <c:pt idx="3">
                  <c:v>4.833083333333331</c:v>
                </c:pt>
                <c:pt idx="4">
                  <c:v>4.7989166666666607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F-A544-9FB9-4873C0031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834368"/>
        <c:axId val="1549836160"/>
      </c:barChart>
      <c:catAx>
        <c:axId val="1549834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49836160"/>
        <c:crosses val="autoZero"/>
        <c:auto val="1"/>
        <c:lblAlgn val="ctr"/>
        <c:lblOffset val="100"/>
        <c:noMultiLvlLbl val="0"/>
      </c:catAx>
      <c:valAx>
        <c:axId val="154983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498343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total otorgado por región (UF)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Data'!$G$1</c:f>
              <c:strCache>
                <c:ptCount val="1"/>
                <c:pt idx="0">
                  <c:v>Región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 Data'!$G$2:$G$16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E-7E44-BC29-9DF8E72C9B30}"/>
            </c:ext>
          </c:extLst>
        </c:ser>
        <c:ser>
          <c:idx val="1"/>
          <c:order val="1"/>
          <c:tx>
            <c:strRef>
              <c:f>'Chart Data'!$H$1</c:f>
              <c:strCache>
                <c:ptCount val="1"/>
                <c:pt idx="0">
                  <c:v>Monto Total UF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 Data'!$H$2:$H$16</c:f>
              <c:numCache>
                <c:formatCode>#,##0</c:formatCode>
                <c:ptCount val="15"/>
                <c:pt idx="0">
                  <c:v>600164</c:v>
                </c:pt>
                <c:pt idx="1">
                  <c:v>552528</c:v>
                </c:pt>
                <c:pt idx="2">
                  <c:v>538943</c:v>
                </c:pt>
                <c:pt idx="3">
                  <c:v>487965</c:v>
                </c:pt>
                <c:pt idx="4">
                  <c:v>1117406</c:v>
                </c:pt>
                <c:pt idx="5">
                  <c:v>634204</c:v>
                </c:pt>
                <c:pt idx="6">
                  <c:v>659591</c:v>
                </c:pt>
                <c:pt idx="7">
                  <c:v>651271</c:v>
                </c:pt>
                <c:pt idx="8">
                  <c:v>577984</c:v>
                </c:pt>
                <c:pt idx="9">
                  <c:v>402160</c:v>
                </c:pt>
                <c:pt idx="10">
                  <c:v>523598</c:v>
                </c:pt>
                <c:pt idx="11">
                  <c:v>3264653</c:v>
                </c:pt>
                <c:pt idx="12">
                  <c:v>654066</c:v>
                </c:pt>
                <c:pt idx="13">
                  <c:v>1300844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E-7E44-BC29-9DF8E72C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0314432"/>
        <c:axId val="1550312640"/>
      </c:barChart>
      <c:catAx>
        <c:axId val="15503144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50312640"/>
        <c:crosses val="autoZero"/>
        <c:auto val="1"/>
        <c:lblAlgn val="ctr"/>
        <c:lblOffset val="100"/>
        <c:noMultiLvlLbl val="0"/>
      </c:catAx>
      <c:valAx>
        <c:axId val="155031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55031443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créditos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Data'!$K$1</c:f>
              <c:strCache>
                <c:ptCount val="1"/>
                <c:pt idx="0">
                  <c:v>N° Créditos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34-784C-89B2-5261B7A2CA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34-784C-89B2-5261B7A2CA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34-784C-89B2-5261B7A2CA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34-784C-89B2-5261B7A2CAAE}"/>
              </c:ext>
            </c:extLst>
          </c:dPt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L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Data'!$J$2:$J$5</c:f>
              <c:strCache>
                <c:ptCount val="4"/>
                <c:pt idx="0">
                  <c:v>Castigado</c:v>
                </c:pt>
                <c:pt idx="1">
                  <c:v>En mora 30-60d</c:v>
                </c:pt>
                <c:pt idx="2">
                  <c:v>Pagado anticipado</c:v>
                </c:pt>
                <c:pt idx="3">
                  <c:v>Vigente</c:v>
                </c:pt>
              </c:strCache>
            </c:strRef>
          </c:cat>
          <c:val>
            <c:numRef>
              <c:f>'Chart Data'!$K$2:$K$5</c:f>
              <c:numCache>
                <c:formatCode>#,##0</c:formatCode>
                <c:ptCount val="4"/>
                <c:pt idx="0">
                  <c:v>127</c:v>
                </c:pt>
                <c:pt idx="1">
                  <c:v>141</c:v>
                </c:pt>
                <c:pt idx="2">
                  <c:v>157</c:v>
                </c:pt>
                <c:pt idx="3">
                  <c:v>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9-774A-9061-402B7DD2E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7" name="Créditos por Segmento">
          <a:extLst>
            <a:ext uri="{FF2B5EF4-FFF2-40B4-BE49-F238E27FC236}">
              <a16:creationId xmlns:a16="http://schemas.microsoft.com/office/drawing/2014/main" id="{D54971B9-E0E3-9723-468B-F993009EE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8" name="Tasa por Segmento">
          <a:extLst>
            <a:ext uri="{FF2B5EF4-FFF2-40B4-BE49-F238E27FC236}">
              <a16:creationId xmlns:a16="http://schemas.microsoft.com/office/drawing/2014/main" id="{0612A7C1-51A6-EE85-2B64-5216F6F6D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9" name="Monto por Región">
          <a:extLst>
            <a:ext uri="{FF2B5EF4-FFF2-40B4-BE49-F238E27FC236}">
              <a16:creationId xmlns:a16="http://schemas.microsoft.com/office/drawing/2014/main" id="{7225A922-7A71-571F-6635-71DAA349B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16</xdr:col>
      <xdr:colOff>12700</xdr:colOff>
      <xdr:row>58</xdr:row>
      <xdr:rowOff>38100</xdr:rowOff>
    </xdr:to>
    <xdr:graphicFrame macro="">
      <xdr:nvGraphicFramePr>
        <xdr:cNvPr id="10" name="Distribución por Estado">
          <a:extLst>
            <a:ext uri="{FF2B5EF4-FFF2-40B4-BE49-F238E27FC236}">
              <a16:creationId xmlns:a16="http://schemas.microsoft.com/office/drawing/2014/main" id="{486BA17B-FFC8-CCA0-ECDD-24F6F2A5D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Lobos Stevens" refreshedDate="46273.821727083334" createdVersion="8" refreshedVersion="8" minRefreshableVersion="3" recordCount="1200" xr:uid="{765A59CE-CFD4-734B-8AD1-98CF421AF90A}">
  <cacheSource type="worksheet">
    <worksheetSource ref="A1:P1201" sheet="Hipotecarios Otorgados"/>
  </cacheSource>
  <cacheFields count="16">
    <cacheField name="ID Operación" numFmtId="0">
      <sharedItems/>
    </cacheField>
    <cacheField name="Fecha Cursado" numFmtId="0">
      <sharedItems/>
    </cacheField>
    <cacheField name="Sucursal" numFmtId="0">
      <sharedItems/>
    </cacheField>
    <cacheField name="Región" numFmtId="0">
      <sharedItems count="14">
        <s v="RM"/>
        <s v="Biobío"/>
        <s v="Valparaíso"/>
        <s v="Araucanía"/>
        <s v="Arica y Parinacota"/>
        <s v="Los Ríos"/>
        <s v="Coquimbo"/>
        <s v="Antofagasta"/>
        <s v="Tarapacá"/>
        <s v="Maule"/>
        <s v="Los Lagos"/>
        <s v="Ñuble"/>
        <s v="O'Higgins"/>
        <s v="Atacama"/>
      </sharedItems>
    </cacheField>
    <cacheField name="Ejecutivo" numFmtId="0">
      <sharedItems/>
    </cacheField>
    <cacheField name="Segmento" numFmtId="0">
      <sharedItems count="5">
        <s v="Universitario"/>
        <s v="Pyme"/>
        <s v="Select"/>
        <s v="Personas"/>
        <s v="Private Banking"/>
      </sharedItems>
    </cacheField>
    <cacheField name="Tipo Vivienda" numFmtId="0">
      <sharedItems/>
    </cacheField>
    <cacheField name="Monto UF" numFmtId="164">
      <sharedItems containsSemiMixedTypes="0" containsString="0" containsNumber="1" containsInteger="1" minValue="1504" maxValue="17988"/>
    </cacheField>
    <cacheField name="Plazo (años)" numFmtId="0">
      <sharedItems containsSemiMixedTypes="0" containsString="0" containsNumber="1" containsInteger="1" minValue="15" maxValue="30"/>
    </cacheField>
    <cacheField name="Tasa Anual %" numFmtId="165">
      <sharedItems containsSemiMixedTypes="0" containsString="0" containsNumber="1" minValue="3.9" maxValue="5.8"/>
    </cacheField>
    <cacheField name="LTV %" numFmtId="0">
      <sharedItems containsSemiMixedTypes="0" containsString="0" containsNumber="1" containsInteger="1" minValue="70" maxValue="90"/>
    </cacheField>
    <cacheField name="Pie UF" numFmtId="164">
      <sharedItems containsSemiMixedTypes="0" containsString="0" containsNumber="1" minValue="151.09999999999997" maxValue="5389.8000000000011"/>
    </cacheField>
    <cacheField name="Dividendo UF" numFmtId="164">
      <sharedItems containsSemiMixedTypes="0" containsString="0" containsNumber="1" minValue="5.7432868481873962" maxValue="127.53509469917961"/>
    </cacheField>
    <cacheField name="Renta Cliente UF" numFmtId="164">
      <sharedItems containsSemiMixedTypes="0" containsString="0" containsNumber="1" minValue="16.8" maxValue="323.89999999999998"/>
    </cacheField>
    <cacheField name="DTI %" numFmtId="165">
      <sharedItems containsSemiMixedTypes="0" containsString="0" containsNumber="1" minValue="19.009714524064183" maxValue="69.59819843032156"/>
    </cacheField>
    <cacheField name="Estado" numFmtId="0">
      <sharedItems count="4">
        <s v="Castigado"/>
        <s v="Pagado anticipado"/>
        <s v="Vigente"/>
        <s v="En mora 30-60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HIP-100001"/>
    <s v="2025-06-17"/>
    <s v="Maipú"/>
    <x v="0"/>
    <s v="E. Castro"/>
    <x v="0"/>
    <s v="Casa nueva"/>
    <n v="16088"/>
    <n v="25"/>
    <n v="5.08"/>
    <n v="80"/>
    <n v="3217.5999999999995"/>
    <n v="75.840184222334713"/>
    <n v="186.3"/>
    <n v="40.708633506352498"/>
    <x v="0"/>
  </r>
  <r>
    <s v="HIP-100002"/>
    <s v="2025-01-20"/>
    <s v="Concepción"/>
    <x v="1"/>
    <s v="E. Castro"/>
    <x v="1"/>
    <s v="Casa nueva"/>
    <n v="6239"/>
    <n v="15"/>
    <n v="4.75"/>
    <n v="90"/>
    <n v="623.89999999999986"/>
    <n v="43.67604001135166"/>
    <n v="68.8"/>
    <n v="63.482616295569272"/>
    <x v="1"/>
  </r>
  <r>
    <s v="HIP-100003"/>
    <s v="2025-07-09"/>
    <s v="Valparaíso"/>
    <x v="2"/>
    <s v="C. Tapia"/>
    <x v="2"/>
    <s v="Departamento nuevo"/>
    <n v="14785"/>
    <n v="30"/>
    <n v="4.88"/>
    <n v="70"/>
    <n v="4435.5000000000009"/>
    <n v="54.801819115543978"/>
    <n v="176.2"/>
    <n v="31.102053981580013"/>
    <x v="2"/>
  </r>
  <r>
    <s v="HIP-100004"/>
    <s v="2025-08-05"/>
    <s v="Temuco"/>
    <x v="3"/>
    <s v="G. Herrera"/>
    <x v="0"/>
    <s v="Departamento nuevo"/>
    <n v="1908"/>
    <n v="30"/>
    <n v="4.5999999999999996"/>
    <n v="80"/>
    <n v="381.59999999999991"/>
    <n v="7.8250036363542304"/>
    <n v="26.5"/>
    <n v="29.528315608883887"/>
    <x v="0"/>
  </r>
  <r>
    <s v="HIP-100005"/>
    <s v="2025-07-17"/>
    <s v="Maipú"/>
    <x v="0"/>
    <s v="E. Castro"/>
    <x v="0"/>
    <s v="Departamento usado"/>
    <n v="8069"/>
    <n v="25"/>
    <n v="4.3899999999999997"/>
    <n v="80"/>
    <n v="1613.7999999999997"/>
    <n v="35.478252042458415"/>
    <n v="104"/>
    <n v="34.113703886979245"/>
    <x v="2"/>
  </r>
  <r>
    <s v="HIP-100006"/>
    <s v="2025-04-25"/>
    <s v="Arica"/>
    <x v="4"/>
    <s v="T. Núñez"/>
    <x v="3"/>
    <s v="Casa nueva"/>
    <n v="17385"/>
    <n v="25"/>
    <n v="5.58"/>
    <n v="70"/>
    <n v="5215.5000000000009"/>
    <n v="75.313895545177488"/>
    <n v="207.7"/>
    <n v="36.260903006825949"/>
    <x v="0"/>
  </r>
  <r>
    <s v="HIP-100007"/>
    <s v="2025-08-08"/>
    <s v="La Florida"/>
    <x v="0"/>
    <s v="G. Herrera"/>
    <x v="1"/>
    <s v="Departamento usado"/>
    <n v="12626"/>
    <n v="30"/>
    <n v="5.67"/>
    <n v="80"/>
    <n v="2525.1999999999994"/>
    <n v="58.433199457472341"/>
    <n v="194.1"/>
    <n v="30.10468802548807"/>
    <x v="2"/>
  </r>
  <r>
    <s v="HIP-100008"/>
    <s v="2025-11-17"/>
    <s v="Valdivia"/>
    <x v="5"/>
    <s v="B. Reyes"/>
    <x v="4"/>
    <s v="Departamento usado"/>
    <n v="8646"/>
    <n v="20"/>
    <n v="5.48"/>
    <n v="70"/>
    <n v="2593.8000000000002"/>
    <n v="41.563979883927011"/>
    <n v="153.5"/>
    <n v="27.077511325033882"/>
    <x v="0"/>
  </r>
  <r>
    <s v="HIP-100009"/>
    <s v="2025-04-09"/>
    <s v="La Serena"/>
    <x v="6"/>
    <s v="M. Silva"/>
    <x v="4"/>
    <s v="Departamento usado"/>
    <n v="9936"/>
    <n v="30"/>
    <n v="4.84"/>
    <n v="80"/>
    <n v="1987.1999999999996"/>
    <n v="41.897000696474429"/>
    <n v="128.5"/>
    <n v="32.604669802703832"/>
    <x v="2"/>
  </r>
  <r>
    <s v="HIP-100010"/>
    <s v="2025-08-26"/>
    <s v="Antofagasta"/>
    <x v="7"/>
    <s v="F. Soto"/>
    <x v="1"/>
    <s v="Departamento usado"/>
    <n v="12874"/>
    <n v="30"/>
    <n v="5.73"/>
    <n v="80"/>
    <n v="2574.7999999999993"/>
    <n v="59.972545675885584"/>
    <n v="176.1"/>
    <n v="34.055960065806694"/>
    <x v="3"/>
  </r>
  <r>
    <s v="HIP-100011"/>
    <s v="2025-02-21"/>
    <s v="Iquique"/>
    <x v="8"/>
    <s v="A. Rojas"/>
    <x v="2"/>
    <s v="Departamento usado"/>
    <n v="7607"/>
    <n v="20"/>
    <n v="5.32"/>
    <n v="80"/>
    <n v="1521.3999999999996"/>
    <n v="41.245806436413275"/>
    <n v="125"/>
    <n v="32.996645149130622"/>
    <x v="2"/>
  </r>
  <r>
    <s v="HIP-100012"/>
    <s v="2025-08-19"/>
    <s v="Santiago Centro"/>
    <x v="0"/>
    <s v="N. Fuentes"/>
    <x v="0"/>
    <s v="Casa nueva"/>
    <n v="11567"/>
    <n v="20"/>
    <n v="4.37"/>
    <n v="80"/>
    <n v="2313.3999999999996"/>
    <n v="57.895485871967956"/>
    <n v="203.7"/>
    <n v="28.421937099640626"/>
    <x v="1"/>
  </r>
  <r>
    <s v="HIP-100013"/>
    <s v="2025-01-11"/>
    <s v="La Florida"/>
    <x v="0"/>
    <s v="D. Araya"/>
    <x v="0"/>
    <s v="Departamento usado"/>
    <n v="12881"/>
    <n v="20"/>
    <n v="4.9400000000000004"/>
    <n v="80"/>
    <n v="2576.1999999999994"/>
    <n v="67.666027876793763"/>
    <n v="164.1"/>
    <n v="41.234630028515397"/>
    <x v="2"/>
  </r>
  <r>
    <s v="HIP-100014"/>
    <s v="2025-11-06"/>
    <s v="Talca"/>
    <x v="9"/>
    <s v="G. Herrera"/>
    <x v="3"/>
    <s v="Departamento nuevo"/>
    <n v="9877"/>
    <n v="25"/>
    <n v="5.44"/>
    <n v="80"/>
    <n v="1975.3999999999996"/>
    <n v="48.240018304181305"/>
    <n v="113.2"/>
    <n v="42.614857159170768"/>
    <x v="2"/>
  </r>
  <r>
    <s v="HIP-100015"/>
    <s v="2025-07-03"/>
    <s v="Maipú"/>
    <x v="0"/>
    <s v="V. Morales"/>
    <x v="1"/>
    <s v="Departamento nuevo"/>
    <n v="12163"/>
    <n v="30"/>
    <n v="5.7"/>
    <n v="70"/>
    <n v="3648.9000000000005"/>
    <n v="49.415872803392219"/>
    <n v="161.30000000000001"/>
    <n v="30.636002977924498"/>
    <x v="2"/>
  </r>
  <r>
    <s v="HIP-100016"/>
    <s v="2025-06-04"/>
    <s v="Puerto Montt"/>
    <x v="10"/>
    <s v="T. Núñez"/>
    <x v="4"/>
    <s v="Departamento usado"/>
    <n v="10932"/>
    <n v="30"/>
    <n v="4.22"/>
    <n v="80"/>
    <n v="2186.3999999999996"/>
    <n v="42.869636722853024"/>
    <n v="144.30000000000001"/>
    <n v="29.708687957625102"/>
    <x v="1"/>
  </r>
  <r>
    <s v="HIP-100017"/>
    <s v="2025-10-08"/>
    <s v="Puerto Montt"/>
    <x v="10"/>
    <s v="M. Silva"/>
    <x v="1"/>
    <s v="Departamento usado"/>
    <n v="2064"/>
    <n v="30"/>
    <n v="5.65"/>
    <n v="70"/>
    <n v="619.20000000000005"/>
    <n v="8.3399026882977054"/>
    <n v="25.5"/>
    <n v="32.705500738422373"/>
    <x v="0"/>
  </r>
  <r>
    <s v="HIP-100018"/>
    <s v="2025-08-23"/>
    <s v="Valparaíso"/>
    <x v="2"/>
    <s v="L. Muñoz"/>
    <x v="1"/>
    <s v="Casa usada"/>
    <n v="12153"/>
    <n v="20"/>
    <n v="5.39"/>
    <n v="80"/>
    <n v="2430.5999999999995"/>
    <n v="66.276567273369324"/>
    <n v="133.9"/>
    <n v="49.497062937542438"/>
    <x v="2"/>
  </r>
  <r>
    <s v="HIP-100019"/>
    <s v="2025-07-09"/>
    <s v="Viña del Mar"/>
    <x v="2"/>
    <s v="B. Reyes"/>
    <x v="4"/>
    <s v="Departamento usado"/>
    <n v="15823"/>
    <n v="25"/>
    <n v="4.4800000000000004"/>
    <n v="80"/>
    <n v="3164.5999999999995"/>
    <n v="70.215876687392878"/>
    <n v="255.3"/>
    <n v="27.503281115312522"/>
    <x v="0"/>
  </r>
  <r>
    <s v="HIP-100020"/>
    <s v="2025-05-15"/>
    <s v="Talca"/>
    <x v="9"/>
    <s v="N. Fuentes"/>
    <x v="3"/>
    <s v="Departamento nuevo"/>
    <n v="10069"/>
    <n v="25"/>
    <n v="4.13"/>
    <n v="90"/>
    <n v="1006.8999999999997"/>
    <n v="48.48597205013597"/>
    <n v="132.5"/>
    <n v="36.593186452932805"/>
    <x v="2"/>
  </r>
  <r>
    <s v="HIP-100021"/>
    <s v="2025-04-01"/>
    <s v="Valparaíso"/>
    <x v="2"/>
    <s v="F. Soto"/>
    <x v="1"/>
    <s v="Departamento usado"/>
    <n v="12154"/>
    <n v="25"/>
    <n v="4.9400000000000004"/>
    <n v="90"/>
    <n v="1215.3999999999996"/>
    <n v="63.564163001407934"/>
    <n v="136.6"/>
    <n v="46.533062226506544"/>
    <x v="2"/>
  </r>
  <r>
    <s v="HIP-100022"/>
    <s v="2025-03-12"/>
    <s v="La Serena"/>
    <x v="6"/>
    <s v="J. Cáceres"/>
    <x v="0"/>
    <s v="Casa usada"/>
    <n v="3310"/>
    <n v="30"/>
    <n v="4.43"/>
    <n v="90"/>
    <n v="330.99999999999994"/>
    <n v="14.970504978414446"/>
    <n v="42.6"/>
    <n v="35.142030465761607"/>
    <x v="2"/>
  </r>
  <r>
    <s v="HIP-100023"/>
    <s v="2025-05-22"/>
    <s v="Arica"/>
    <x v="4"/>
    <s v="M. Silva"/>
    <x v="0"/>
    <s v="Casa usada"/>
    <n v="3174"/>
    <n v="20"/>
    <n v="4.08"/>
    <n v="80"/>
    <n v="634.79999999999984"/>
    <n v="15.494301961566586"/>
    <n v="51.3"/>
    <n v="30.203317663872493"/>
    <x v="1"/>
  </r>
  <r>
    <s v="HIP-100024"/>
    <s v="2025-11-21"/>
    <s v="Viña del Mar"/>
    <x v="2"/>
    <s v="N. Fuentes"/>
    <x v="1"/>
    <s v="Departamento nuevo"/>
    <n v="6067"/>
    <n v="30"/>
    <n v="4.0199999999999996"/>
    <n v="80"/>
    <n v="1213.3999999999996"/>
    <n v="23.22782692626355"/>
    <n v="98.7"/>
    <n v="23.533765882739157"/>
    <x v="2"/>
  </r>
  <r>
    <s v="HIP-100025"/>
    <s v="2025-07-28"/>
    <s v="Santiago Centro"/>
    <x v="0"/>
    <s v="P. Vega"/>
    <x v="2"/>
    <s v="Departamento usado"/>
    <n v="17430"/>
    <n v="15"/>
    <n v="4.08"/>
    <n v="70"/>
    <n v="5229.0000000000009"/>
    <n v="90.739240766137883"/>
    <n v="258.60000000000002"/>
    <n v="35.088646854655018"/>
    <x v="1"/>
  </r>
  <r>
    <s v="HIP-100026"/>
    <s v="2025-08-20"/>
    <s v="Antofagasta"/>
    <x v="7"/>
    <s v="P. Vega"/>
    <x v="0"/>
    <s v="Casa nueva"/>
    <n v="16758"/>
    <n v="20"/>
    <n v="5.05"/>
    <n v="80"/>
    <n v="3351.5999999999995"/>
    <n v="88.847024098279178"/>
    <n v="228"/>
    <n v="38.967993025561043"/>
    <x v="1"/>
  </r>
  <r>
    <s v="HIP-100027"/>
    <s v="2025-11-09"/>
    <s v="Chillán"/>
    <x v="11"/>
    <s v="A. Rojas"/>
    <x v="4"/>
    <s v="Departamento nuevo"/>
    <n v="17127"/>
    <n v="20"/>
    <n v="4.01"/>
    <n v="85"/>
    <n v="2569.0500000000002"/>
    <n v="88.295042715177047"/>
    <n v="236.3"/>
    <n v="37.36565497891538"/>
    <x v="2"/>
  </r>
  <r>
    <s v="HIP-100028"/>
    <s v="2025-05-24"/>
    <s v="Antofagasta"/>
    <x v="7"/>
    <s v="V. Morales"/>
    <x v="1"/>
    <s v="Departamento nuevo"/>
    <n v="14170"/>
    <n v="20"/>
    <n v="5.01"/>
    <n v="70"/>
    <n v="4251.0000000000009"/>
    <n v="65.515816840324561"/>
    <n v="184.8"/>
    <n v="35.452281840002463"/>
    <x v="2"/>
  </r>
  <r>
    <s v="HIP-100029"/>
    <s v="2025-01-24"/>
    <s v="Valdivia"/>
    <x v="5"/>
    <s v="D. Araya"/>
    <x v="1"/>
    <s v="Casa usada"/>
    <n v="11713"/>
    <n v="15"/>
    <n v="3.97"/>
    <n v="80"/>
    <n v="2342.5999999999995"/>
    <n v="69.170929951573754"/>
    <n v="169.4"/>
    <n v="40.832898436584273"/>
    <x v="2"/>
  </r>
  <r>
    <s v="HIP-100030"/>
    <s v="2025-10-05"/>
    <s v="Talca"/>
    <x v="9"/>
    <s v="L. Muñoz"/>
    <x v="2"/>
    <s v="Departamento usado"/>
    <n v="7838"/>
    <n v="20"/>
    <n v="5.38"/>
    <n v="85"/>
    <n v="1175.7000000000003"/>
    <n v="45.378750439434206"/>
    <n v="122.9"/>
    <n v="36.923311993030275"/>
    <x v="2"/>
  </r>
  <r>
    <s v="HIP-100031"/>
    <s v="2025-01-22"/>
    <s v="Valdivia"/>
    <x v="5"/>
    <s v="E. Castro"/>
    <x v="0"/>
    <s v="Departamento usado"/>
    <n v="16171"/>
    <n v="30"/>
    <n v="4.18"/>
    <n v="70"/>
    <n v="4851.3000000000011"/>
    <n v="55.223220692406457"/>
    <n v="290.5"/>
    <n v="19.009714524064183"/>
    <x v="3"/>
  </r>
  <r>
    <s v="HIP-100032"/>
    <s v="2025-06-05"/>
    <s v="Talcahuano"/>
    <x v="1"/>
    <s v="N. Fuentes"/>
    <x v="0"/>
    <s v="Casa nueva"/>
    <n v="15353"/>
    <n v="25"/>
    <n v="3.97"/>
    <n v="90"/>
    <n v="1535.2999999999997"/>
    <n v="72.706220709887049"/>
    <n v="164.3"/>
    <n v="44.252112422329304"/>
    <x v="1"/>
  </r>
  <r>
    <s v="HIP-100033"/>
    <s v="2025-12-11"/>
    <s v="Chillán"/>
    <x v="11"/>
    <s v="L. Muñoz"/>
    <x v="1"/>
    <s v="Casa nueva"/>
    <n v="11860"/>
    <n v="20"/>
    <n v="4.79"/>
    <n v="75"/>
    <n v="2965"/>
    <n v="57.676087009578424"/>
    <n v="144.30000000000001"/>
    <n v="39.969568267206114"/>
    <x v="3"/>
  </r>
  <r>
    <s v="HIP-100034"/>
    <s v="2025-04-18"/>
    <s v="La Serena"/>
    <x v="6"/>
    <s v="E. Castro"/>
    <x v="2"/>
    <s v="Departamento nuevo"/>
    <n v="15710"/>
    <n v="20"/>
    <n v="4.58"/>
    <n v="85"/>
    <n v="2356.5000000000005"/>
    <n v="85.058572784877384"/>
    <n v="214.3"/>
    <n v="39.691354542639935"/>
    <x v="2"/>
  </r>
  <r>
    <s v="HIP-100035"/>
    <s v="2025-03-21"/>
    <s v="Valparaíso"/>
    <x v="2"/>
    <s v="T. Núñez"/>
    <x v="4"/>
    <s v="Casa usada"/>
    <n v="9500"/>
    <n v="15"/>
    <n v="5.71"/>
    <n v="90"/>
    <n v="949.99999999999977"/>
    <n v="70.817062242224196"/>
    <n v="101.9"/>
    <n v="69.4966263417313"/>
    <x v="2"/>
  </r>
  <r>
    <s v="HIP-100036"/>
    <s v="2025-02-10"/>
    <s v="Viña del Mar"/>
    <x v="2"/>
    <s v="D. Araya"/>
    <x v="2"/>
    <s v="Departamento nuevo"/>
    <n v="3776"/>
    <n v="30"/>
    <n v="4.09"/>
    <n v="70"/>
    <n v="1132.8000000000002"/>
    <n v="12.756570911231082"/>
    <n v="49.5"/>
    <n v="25.770850325719358"/>
    <x v="2"/>
  </r>
  <r>
    <s v="HIP-100037"/>
    <s v="2025-07-18"/>
    <s v="Rancagua"/>
    <x v="12"/>
    <s v="N. Fuentes"/>
    <x v="0"/>
    <s v="Casa usada"/>
    <n v="17425"/>
    <n v="15"/>
    <n v="4.0599999999999996"/>
    <n v="85"/>
    <n v="2613.7500000000005"/>
    <n v="110.00289668449004"/>
    <n v="246.9"/>
    <n v="44.553623606516823"/>
    <x v="2"/>
  </r>
  <r>
    <s v="HIP-100038"/>
    <s v="2025-12-19"/>
    <s v="Las Condes"/>
    <x v="0"/>
    <s v="G. Herrera"/>
    <x v="3"/>
    <s v="Casa usada"/>
    <n v="16332"/>
    <n v="20"/>
    <n v="4.93"/>
    <n v="80"/>
    <n v="3266.3999999999992"/>
    <n v="85.722738377352456"/>
    <n v="270.60000000000002"/>
    <n v="31.678765106190852"/>
    <x v="2"/>
  </r>
  <r>
    <s v="HIP-100039"/>
    <s v="2025-10-21"/>
    <s v="Santiago Centro"/>
    <x v="0"/>
    <s v="A. Rojas"/>
    <x v="4"/>
    <s v="Departamento usado"/>
    <n v="7368"/>
    <n v="30"/>
    <n v="5.61"/>
    <n v="80"/>
    <n v="1473.5999999999997"/>
    <n v="33.875689399293918"/>
    <n v="119.2"/>
    <n v="28.419202516186171"/>
    <x v="2"/>
  </r>
  <r>
    <s v="HIP-100040"/>
    <s v="2025-09-05"/>
    <s v="Antofagasta"/>
    <x v="7"/>
    <s v="A. Rojas"/>
    <x v="3"/>
    <s v="Casa nueva"/>
    <n v="16139"/>
    <n v="25"/>
    <n v="5.17"/>
    <n v="85"/>
    <n v="2420.8500000000004"/>
    <n v="81.559519540828916"/>
    <n v="199.9"/>
    <n v="40.800159850339632"/>
    <x v="1"/>
  </r>
  <r>
    <s v="HIP-100041"/>
    <s v="2025-06-10"/>
    <s v="Providencia"/>
    <x v="0"/>
    <s v="C. Tapia"/>
    <x v="3"/>
    <s v="Casa usada"/>
    <n v="11392"/>
    <n v="20"/>
    <n v="4.1399999999999997"/>
    <n v="80"/>
    <n v="2278.3999999999996"/>
    <n v="55.901251149501775"/>
    <n v="153.19999999999999"/>
    <n v="36.489067329961998"/>
    <x v="3"/>
  </r>
  <r>
    <s v="HIP-100042"/>
    <s v="2025-10-10"/>
    <s v="Talcahuano"/>
    <x v="1"/>
    <s v="S. Bravo"/>
    <x v="1"/>
    <s v="Departamento nuevo"/>
    <n v="9327"/>
    <n v="25"/>
    <n v="4.13"/>
    <n v="80"/>
    <n v="1865.3999999999996"/>
    <n v="39.92263703217737"/>
    <n v="143.80000000000001"/>
    <n v="27.762612678843791"/>
    <x v="0"/>
  </r>
  <r>
    <s v="HIP-100043"/>
    <s v="2025-06-03"/>
    <s v="Arica"/>
    <x v="4"/>
    <s v="F. Soto"/>
    <x v="1"/>
    <s v="Casa nueva"/>
    <n v="14839"/>
    <n v="30"/>
    <n v="4.49"/>
    <n v="90"/>
    <n v="1483.8999999999996"/>
    <n v="67.588999966955043"/>
    <n v="182.1"/>
    <n v="37.116419531551372"/>
    <x v="1"/>
  </r>
  <r>
    <s v="HIP-100044"/>
    <s v="2025-09-18"/>
    <s v="Talca"/>
    <x v="9"/>
    <s v="F. Soto"/>
    <x v="2"/>
    <s v="Departamento nuevo"/>
    <n v="16467"/>
    <n v="30"/>
    <n v="5.15"/>
    <n v="80"/>
    <n v="3293.3999999999992"/>
    <n v="71.931310884492532"/>
    <n v="231.5"/>
    <n v="31.071840554856383"/>
    <x v="2"/>
  </r>
  <r>
    <s v="HIP-100045"/>
    <s v="2025-04-28"/>
    <s v="Puerto Montt"/>
    <x v="10"/>
    <s v="L. Muñoz"/>
    <x v="2"/>
    <s v="Departamento nuevo"/>
    <n v="8260"/>
    <n v="30"/>
    <n v="5.0199999999999996"/>
    <n v="75"/>
    <n v="2065"/>
    <n v="33.331863125972113"/>
    <n v="135"/>
    <n v="24.690268982201566"/>
    <x v="3"/>
  </r>
  <r>
    <s v="HIP-100046"/>
    <s v="2025-06-27"/>
    <s v="Talcahuano"/>
    <x v="1"/>
    <s v="N. Fuentes"/>
    <x v="1"/>
    <s v="Departamento nuevo"/>
    <n v="5897"/>
    <n v="30"/>
    <n v="4.74"/>
    <n v="75"/>
    <n v="1474.25"/>
    <n v="23.044506711560668"/>
    <n v="76.8"/>
    <n v="30.005868114011285"/>
    <x v="2"/>
  </r>
  <r>
    <s v="HIP-100047"/>
    <s v="2025-03-18"/>
    <s v="Antofagasta"/>
    <x v="7"/>
    <s v="V. Morales"/>
    <x v="1"/>
    <s v="Departamento nuevo"/>
    <n v="6342"/>
    <n v="25"/>
    <n v="5.0999999999999996"/>
    <n v="80"/>
    <n v="1268.3999999999996"/>
    <n v="29.956110854663805"/>
    <n v="113.5"/>
    <n v="26.393049211157539"/>
    <x v="3"/>
  </r>
  <r>
    <s v="HIP-100048"/>
    <s v="2025-02-22"/>
    <s v="Antofagasta"/>
    <x v="7"/>
    <s v="A. Rojas"/>
    <x v="4"/>
    <s v="Casa usada"/>
    <n v="8503"/>
    <n v="30"/>
    <n v="4.53"/>
    <n v="80"/>
    <n v="1700.5999999999997"/>
    <n v="34.588122510561696"/>
    <n v="101.3"/>
    <n v="34.144247295717371"/>
    <x v="2"/>
  </r>
  <r>
    <s v="HIP-100049"/>
    <s v="2025-12-09"/>
    <s v="Valdivia"/>
    <x v="5"/>
    <s v="E. Castro"/>
    <x v="3"/>
    <s v="Departamento nuevo"/>
    <n v="11053"/>
    <n v="25"/>
    <n v="4.6900000000000004"/>
    <n v="90"/>
    <n v="1105.2999999999997"/>
    <n v="56.370806525955011"/>
    <n v="126.9"/>
    <n v="44.421439342754141"/>
    <x v="1"/>
  </r>
  <r>
    <s v="HIP-100050"/>
    <s v="2025-01-25"/>
    <s v="Santiago Centro"/>
    <x v="0"/>
    <s v="B. Reyes"/>
    <x v="3"/>
    <s v="Casa nueva"/>
    <n v="12401"/>
    <n v="20"/>
    <n v="4.5199999999999996"/>
    <n v="90"/>
    <n v="1240.0999999999997"/>
    <n v="70.729912612210668"/>
    <n v="195.7"/>
    <n v="36.142009510582866"/>
    <x v="2"/>
  </r>
  <r>
    <s v="HIP-100051"/>
    <s v="2025-11-12"/>
    <s v="Copiapó"/>
    <x v="13"/>
    <s v="R. Pinto"/>
    <x v="1"/>
    <s v="Casa usada"/>
    <n v="10393"/>
    <n v="15"/>
    <n v="5.77"/>
    <n v="75"/>
    <n v="2598.25"/>
    <n v="64.81189774256184"/>
    <n v="152.4"/>
    <n v="42.527491957061578"/>
    <x v="0"/>
  </r>
  <r>
    <s v="HIP-100052"/>
    <s v="2025-10-22"/>
    <s v="Valparaíso"/>
    <x v="2"/>
    <s v="L. Muñoz"/>
    <x v="3"/>
    <s v="Departamento nuevo"/>
    <n v="2891"/>
    <n v="25"/>
    <n v="5.25"/>
    <n v="85"/>
    <n v="433.65000000000009"/>
    <n v="14.725613728761347"/>
    <n v="36.799999999999997"/>
    <n v="40.015254697721055"/>
    <x v="2"/>
  </r>
  <r>
    <s v="HIP-100053"/>
    <s v="2025-05-14"/>
    <s v="Santiago Centro"/>
    <x v="0"/>
    <s v="V. Morales"/>
    <x v="1"/>
    <s v="Casa usada"/>
    <n v="10579"/>
    <n v="25"/>
    <n v="5.78"/>
    <n v="80"/>
    <n v="2115.7999999999997"/>
    <n v="53.396069303389147"/>
    <n v="130.1"/>
    <n v="41.042328442266836"/>
    <x v="1"/>
  </r>
  <r>
    <s v="HIP-100054"/>
    <s v="2025-06-20"/>
    <s v="La Serena"/>
    <x v="6"/>
    <s v="L. Muñoz"/>
    <x v="4"/>
    <s v="Departamento nuevo"/>
    <n v="9557"/>
    <n v="20"/>
    <n v="5.49"/>
    <n v="70"/>
    <n v="2867.1000000000004"/>
    <n v="45.981196776955564"/>
    <n v="118.4"/>
    <n v="38.835470250807063"/>
    <x v="2"/>
  </r>
  <r>
    <s v="HIP-100055"/>
    <s v="2025-06-09"/>
    <s v="Iquique"/>
    <x v="8"/>
    <s v="M. Silva"/>
    <x v="4"/>
    <s v="Casa usada"/>
    <n v="7564"/>
    <n v="25"/>
    <n v="5.5"/>
    <n v="80"/>
    <n v="1512.7999999999997"/>
    <n v="37.159662332936328"/>
    <n v="112.6"/>
    <n v="33.001476316994967"/>
    <x v="3"/>
  </r>
  <r>
    <s v="HIP-100056"/>
    <s v="2025-12-24"/>
    <s v="Providencia"/>
    <x v="0"/>
    <s v="V. Morales"/>
    <x v="0"/>
    <s v="Departamento nuevo"/>
    <n v="17687"/>
    <n v="25"/>
    <n v="4.07"/>
    <n v="80"/>
    <n v="3537.3999999999992"/>
    <n v="75.234778794908877"/>
    <n v="188.2"/>
    <n v="39.975971729494624"/>
    <x v="0"/>
  </r>
  <r>
    <s v="HIP-100057"/>
    <s v="2025-11-11"/>
    <s v="Antofagasta"/>
    <x v="7"/>
    <s v="G. Herrera"/>
    <x v="2"/>
    <s v="Casa usada"/>
    <n v="2788"/>
    <n v="25"/>
    <n v="5.54"/>
    <n v="75"/>
    <n v="697"/>
    <n v="12.890566656478603"/>
    <n v="32.700000000000003"/>
    <n v="39.420693139078296"/>
    <x v="2"/>
  </r>
  <r>
    <s v="HIP-100058"/>
    <s v="2025-04-01"/>
    <s v="Copiapó"/>
    <x v="13"/>
    <s v="N. Fuentes"/>
    <x v="4"/>
    <s v="Casa usada"/>
    <n v="4960"/>
    <n v="25"/>
    <n v="5.53"/>
    <n v="75"/>
    <n v="1240"/>
    <n v="22.910749489583939"/>
    <n v="65.7"/>
    <n v="34.871764824328672"/>
    <x v="0"/>
  </r>
  <r>
    <s v="HIP-100059"/>
    <s v="2025-09-22"/>
    <s v="La Florida"/>
    <x v="0"/>
    <s v="L. Muñoz"/>
    <x v="2"/>
    <s v="Departamento nuevo"/>
    <n v="17954"/>
    <n v="25"/>
    <n v="4.91"/>
    <n v="85"/>
    <n v="2693.1000000000004"/>
    <n v="88.415308673186473"/>
    <n v="234.5"/>
    <n v="37.703756363832184"/>
    <x v="2"/>
  </r>
  <r>
    <s v="HIP-100060"/>
    <s v="2025-03-26"/>
    <s v="La Florida"/>
    <x v="0"/>
    <s v="F. Soto"/>
    <x v="0"/>
    <s v="Casa nueva"/>
    <n v="14731"/>
    <n v="30"/>
    <n v="3.97"/>
    <n v="90"/>
    <n v="1473.0999999999997"/>
    <n v="63.066156905887063"/>
    <n v="220"/>
    <n v="28.666434957221394"/>
    <x v="2"/>
  </r>
  <r>
    <s v="HIP-100061"/>
    <s v="2025-09-23"/>
    <s v="Talcahuano"/>
    <x v="1"/>
    <s v="L. Muñoz"/>
    <x v="2"/>
    <s v="Casa usada"/>
    <n v="9045"/>
    <n v="20"/>
    <n v="5.22"/>
    <n v="90"/>
    <n v="904.49999999999977"/>
    <n v="54.717946269660828"/>
    <n v="144.9"/>
    <n v="37.762557812050254"/>
    <x v="3"/>
  </r>
  <r>
    <s v="HIP-100062"/>
    <s v="2025-08-18"/>
    <s v="Copiapó"/>
    <x v="13"/>
    <s v="T. Núñez"/>
    <x v="1"/>
    <s v="Departamento nuevo"/>
    <n v="5145"/>
    <n v="20"/>
    <n v="5.59"/>
    <n v="70"/>
    <n v="1543.5000000000002"/>
    <n v="24.957688948634907"/>
    <n v="69.900000000000006"/>
    <n v="35.704848281308877"/>
    <x v="2"/>
  </r>
  <r>
    <s v="HIP-100063"/>
    <s v="2025-03-23"/>
    <s v="Antofagasta"/>
    <x v="7"/>
    <s v="N. Fuentes"/>
    <x v="0"/>
    <s v="Casa nueva"/>
    <n v="9269"/>
    <n v="15"/>
    <n v="4.08"/>
    <n v="80"/>
    <n v="1853.7999999999995"/>
    <n v="55.147087790268472"/>
    <n v="104.4"/>
    <n v="52.822881025161372"/>
    <x v="1"/>
  </r>
  <r>
    <s v="HIP-100064"/>
    <s v="2025-03-17"/>
    <s v="Santiago Centro"/>
    <x v="0"/>
    <s v="R. Pinto"/>
    <x v="3"/>
    <s v="Casa nueva"/>
    <n v="8477"/>
    <n v="25"/>
    <n v="4.28"/>
    <n v="90"/>
    <n v="847.69999999999982"/>
    <n v="41.459087141566478"/>
    <n v="137.1"/>
    <n v="30.240034384804144"/>
    <x v="0"/>
  </r>
  <r>
    <s v="HIP-100065"/>
    <s v="2025-06-06"/>
    <s v="Valparaíso"/>
    <x v="2"/>
    <s v="D. Araya"/>
    <x v="0"/>
    <s v="Departamento usado"/>
    <n v="13398"/>
    <n v="25"/>
    <n v="5.53"/>
    <n v="85"/>
    <n v="2009.7000000000003"/>
    <n v="70.138303336620638"/>
    <n v="211.4"/>
    <n v="33.178005362639844"/>
    <x v="0"/>
  </r>
  <r>
    <s v="HIP-100066"/>
    <s v="2025-10-16"/>
    <s v="Valdivia"/>
    <x v="5"/>
    <s v="F. Soto"/>
    <x v="1"/>
    <s v="Casa usada"/>
    <n v="13694"/>
    <n v="15"/>
    <n v="5.34"/>
    <n v="80"/>
    <n v="2738.7999999999993"/>
    <n v="88.585697923131335"/>
    <n v="163.80000000000001"/>
    <n v="54.08162266369434"/>
    <x v="2"/>
  </r>
  <r>
    <s v="HIP-100067"/>
    <s v="2025-04-21"/>
    <s v="Viña del Mar"/>
    <x v="2"/>
    <s v="N. Fuentes"/>
    <x v="4"/>
    <s v="Casa usada"/>
    <n v="16341"/>
    <n v="25"/>
    <n v="3.96"/>
    <n v="75"/>
    <n v="4085.25"/>
    <n v="64.419988021897154"/>
    <n v="201.9"/>
    <n v="31.906878663643955"/>
    <x v="2"/>
  </r>
  <r>
    <s v="HIP-100068"/>
    <s v="2025-07-01"/>
    <s v="La Serena"/>
    <x v="6"/>
    <s v="L. Muñoz"/>
    <x v="4"/>
    <s v="Departamento usado"/>
    <n v="16131"/>
    <n v="30"/>
    <n v="4.57"/>
    <n v="75"/>
    <n v="4032.75"/>
    <n v="61.804276445191618"/>
    <n v="272"/>
    <n v="22.722160457791034"/>
    <x v="2"/>
  </r>
  <r>
    <s v="HIP-100069"/>
    <s v="2025-08-13"/>
    <s v="La Serena"/>
    <x v="6"/>
    <s v="C. Tapia"/>
    <x v="0"/>
    <s v="Casa nueva"/>
    <n v="16857"/>
    <n v="30"/>
    <n v="4.96"/>
    <n v="90"/>
    <n v="1685.6999999999996"/>
    <n v="81.072340765978865"/>
    <n v="258.60000000000002"/>
    <n v="31.350479801229259"/>
    <x v="0"/>
  </r>
  <r>
    <s v="HIP-100070"/>
    <s v="2025-06-18"/>
    <s v="Puerto Montt"/>
    <x v="10"/>
    <s v="B. Reyes"/>
    <x v="0"/>
    <s v="Casa nueva"/>
    <n v="14924"/>
    <n v="20"/>
    <n v="3.97"/>
    <n v="80"/>
    <n v="2984.7999999999993"/>
    <n v="72.160608524931561"/>
    <n v="263.3"/>
    <n v="27.406231874261888"/>
    <x v="2"/>
  </r>
  <r>
    <s v="HIP-100071"/>
    <s v="2025-11-26"/>
    <s v="Rancagua"/>
    <x v="12"/>
    <s v="P. Vega"/>
    <x v="0"/>
    <s v="Departamento usado"/>
    <n v="11620"/>
    <n v="25"/>
    <n v="3.94"/>
    <n v="80"/>
    <n v="2323.9999999999995"/>
    <n v="48.760267333804435"/>
    <n v="192.5"/>
    <n v="25.330009004573732"/>
    <x v="3"/>
  </r>
  <r>
    <s v="HIP-100072"/>
    <s v="2025-03-18"/>
    <s v="Providencia"/>
    <x v="0"/>
    <s v="P. Vega"/>
    <x v="2"/>
    <s v="Casa nueva"/>
    <n v="17536"/>
    <n v="30"/>
    <n v="5.74"/>
    <n v="90"/>
    <n v="1753.5999999999997"/>
    <n v="92.001567333672767"/>
    <n v="221.8"/>
    <n v="41.479516381277172"/>
    <x v="1"/>
  </r>
  <r>
    <s v="HIP-100073"/>
    <s v="2025-05-16"/>
    <s v="La Florida"/>
    <x v="0"/>
    <s v="V. Morales"/>
    <x v="3"/>
    <s v="Departamento nuevo"/>
    <n v="13330"/>
    <n v="25"/>
    <n v="5.21"/>
    <n v="80"/>
    <n v="2665.9999999999995"/>
    <n v="63.652368149297672"/>
    <n v="206.5"/>
    <n v="30.824391355592095"/>
    <x v="3"/>
  </r>
  <r>
    <s v="HIP-100074"/>
    <s v="2025-08-08"/>
    <s v="Las Condes"/>
    <x v="0"/>
    <s v="E. Castro"/>
    <x v="0"/>
    <s v="Casa usada"/>
    <n v="8736"/>
    <n v="30"/>
    <n v="4.12"/>
    <n v="80"/>
    <n v="1747.1999999999996"/>
    <n v="33.850901484849388"/>
    <n v="111.1"/>
    <n v="30.468858222186668"/>
    <x v="2"/>
  </r>
  <r>
    <s v="HIP-100075"/>
    <s v="2025-04-13"/>
    <s v="Iquique"/>
    <x v="8"/>
    <s v="T. Núñez"/>
    <x v="1"/>
    <s v="Departamento usado"/>
    <n v="14446"/>
    <n v="20"/>
    <n v="4.3600000000000003"/>
    <n v="80"/>
    <n v="2889.1999999999994"/>
    <n v="72.243556638666163"/>
    <n v="213.8"/>
    <n v="33.790251000311585"/>
    <x v="2"/>
  </r>
  <r>
    <s v="HIP-100076"/>
    <s v="2025-10-28"/>
    <s v="La Serena"/>
    <x v="6"/>
    <s v="C. Tapia"/>
    <x v="0"/>
    <s v="Casa usada"/>
    <n v="17227"/>
    <n v="15"/>
    <n v="4.97"/>
    <n v="90"/>
    <n v="1722.6999999999996"/>
    <n v="122.36485758495168"/>
    <n v="270.60000000000002"/>
    <n v="45.219829114911924"/>
    <x v="2"/>
  </r>
  <r>
    <s v="HIP-100077"/>
    <s v="2025-07-26"/>
    <s v="Puerto Montt"/>
    <x v="10"/>
    <s v="M. Silva"/>
    <x v="1"/>
    <s v="Casa nueva"/>
    <n v="14786"/>
    <n v="25"/>
    <n v="4.66"/>
    <n v="70"/>
    <n v="4435.8000000000011"/>
    <n v="58.473768054651771"/>
    <n v="228.3"/>
    <n v="25.612688591612688"/>
    <x v="2"/>
  </r>
  <r>
    <s v="HIP-100078"/>
    <s v="2025-09-09"/>
    <s v="Viña del Mar"/>
    <x v="2"/>
    <s v="P. Vega"/>
    <x v="2"/>
    <s v="Casa nueva"/>
    <n v="5713"/>
    <n v="15"/>
    <n v="4.32"/>
    <n v="90"/>
    <n v="571.29999999999984"/>
    <n v="38.862308791247109"/>
    <n v="71.2"/>
    <n v="54.581894369729092"/>
    <x v="0"/>
  </r>
  <r>
    <s v="HIP-100079"/>
    <s v="2025-11-02"/>
    <s v="Valdivia"/>
    <x v="5"/>
    <s v="J. Cáceres"/>
    <x v="2"/>
    <s v="Departamento usado"/>
    <n v="15375"/>
    <n v="25"/>
    <n v="5.0999999999999996"/>
    <n v="70"/>
    <n v="4612.5000000000009"/>
    <n v="63.545144093605963"/>
    <n v="164.8"/>
    <n v="38.558946658741476"/>
    <x v="0"/>
  </r>
  <r>
    <s v="HIP-100080"/>
    <s v="2025-05-03"/>
    <s v="Las Condes"/>
    <x v="0"/>
    <s v="N. Fuentes"/>
    <x v="3"/>
    <s v="Casa nueva"/>
    <n v="6106"/>
    <n v="15"/>
    <n v="4.45"/>
    <n v="85"/>
    <n v="915.90000000000009"/>
    <n v="39.571418797034106"/>
    <n v="107.6"/>
    <n v="36.776411521407162"/>
    <x v="2"/>
  </r>
  <r>
    <s v="HIP-100081"/>
    <s v="2025-03-18"/>
    <s v="Valdivia"/>
    <x v="5"/>
    <s v="B. Reyes"/>
    <x v="0"/>
    <s v="Casa usada"/>
    <n v="9672"/>
    <n v="15"/>
    <n v="4.93"/>
    <n v="75"/>
    <n v="2418"/>
    <n v="57.100004751008896"/>
    <n v="126.5"/>
    <n v="45.138343676686873"/>
    <x v="2"/>
  </r>
  <r>
    <s v="HIP-100082"/>
    <s v="2025-01-01"/>
    <s v="Concepción"/>
    <x v="1"/>
    <s v="F. Soto"/>
    <x v="4"/>
    <s v="Departamento usado"/>
    <n v="10672"/>
    <n v="25"/>
    <n v="5.18"/>
    <n v="75"/>
    <n v="2668"/>
    <n v="47.633811777773644"/>
    <n v="172.5"/>
    <n v="27.613803929144144"/>
    <x v="2"/>
  </r>
  <r>
    <s v="HIP-100083"/>
    <s v="2025-06-13"/>
    <s v="Chillán"/>
    <x v="11"/>
    <s v="R. Pinto"/>
    <x v="2"/>
    <s v="Casa usada"/>
    <n v="9224"/>
    <n v="15"/>
    <n v="4.55"/>
    <n v="85"/>
    <n v="1383.6000000000001"/>
    <n v="60.179079231082369"/>
    <n v="108.4"/>
    <n v="55.515755748230966"/>
    <x v="0"/>
  </r>
  <r>
    <s v="HIP-100084"/>
    <s v="2025-11-26"/>
    <s v="La Florida"/>
    <x v="0"/>
    <s v="E. Castro"/>
    <x v="2"/>
    <s v="Casa usada"/>
    <n v="9667"/>
    <n v="15"/>
    <n v="4.16"/>
    <n v="90"/>
    <n v="966.69999999999982"/>
    <n v="65.054881415887493"/>
    <n v="137.69999999999999"/>
    <n v="47.243922596868195"/>
    <x v="3"/>
  </r>
  <r>
    <s v="HIP-100085"/>
    <s v="2025-06-17"/>
    <s v="Arica"/>
    <x v="4"/>
    <s v="G. Herrera"/>
    <x v="2"/>
    <s v="Casa nueva"/>
    <n v="13753"/>
    <n v="25"/>
    <n v="3.94"/>
    <n v="80"/>
    <n v="2750.5999999999995"/>
    <n v="57.710839642152536"/>
    <n v="213.2"/>
    <n v="27.068874128589371"/>
    <x v="2"/>
  </r>
  <r>
    <s v="HIP-100086"/>
    <s v="2025-10-22"/>
    <s v="Temuco"/>
    <x v="3"/>
    <s v="F. Soto"/>
    <x v="0"/>
    <s v="Casa usada"/>
    <n v="6563"/>
    <n v="25"/>
    <n v="3.92"/>
    <n v="70"/>
    <n v="1968.9000000000003"/>
    <n v="24.046880862741791"/>
    <n v="95.5"/>
    <n v="25.17997996098617"/>
    <x v="0"/>
  </r>
  <r>
    <s v="HIP-100087"/>
    <s v="2025-02-08"/>
    <s v="Arica"/>
    <x v="4"/>
    <s v="L. Muñoz"/>
    <x v="4"/>
    <s v="Casa usada"/>
    <n v="11521"/>
    <n v="25"/>
    <n v="5.67"/>
    <n v="80"/>
    <n v="2304.1999999999994"/>
    <n v="57.538735407647764"/>
    <n v="193.5"/>
    <n v="29.735780572427785"/>
    <x v="2"/>
  </r>
  <r>
    <s v="HIP-100088"/>
    <s v="2025-09-10"/>
    <s v="Copiapó"/>
    <x v="13"/>
    <s v="G. Herrera"/>
    <x v="3"/>
    <s v="Departamento usado"/>
    <n v="17015"/>
    <n v="15"/>
    <n v="4.74"/>
    <n v="80"/>
    <n v="3402.9999999999991"/>
    <n v="105.80825458052537"/>
    <n v="183.1"/>
    <n v="57.787140677512497"/>
    <x v="2"/>
  </r>
  <r>
    <s v="HIP-100089"/>
    <s v="2025-10-04"/>
    <s v="Puerto Montt"/>
    <x v="10"/>
    <s v="N. Fuentes"/>
    <x v="1"/>
    <s v="Casa usada"/>
    <n v="15227"/>
    <n v="25"/>
    <n v="5.44"/>
    <n v="90"/>
    <n v="1522.6999999999996"/>
    <n v="83.666052805253599"/>
    <n v="216.3"/>
    <n v="38.680560705156545"/>
    <x v="0"/>
  </r>
  <r>
    <s v="HIP-100090"/>
    <s v="2025-12-27"/>
    <s v="Puerto Montt"/>
    <x v="10"/>
    <s v="F. Soto"/>
    <x v="2"/>
    <s v="Departamento nuevo"/>
    <n v="8858"/>
    <n v="25"/>
    <n v="4.68"/>
    <n v="80"/>
    <n v="1771.5999999999997"/>
    <n v="40.116007349065164"/>
    <n v="99.1"/>
    <n v="40.480330321962832"/>
    <x v="2"/>
  </r>
  <r>
    <s v="HIP-100091"/>
    <s v="2025-09-01"/>
    <s v="Copiapó"/>
    <x v="13"/>
    <s v="R. Pinto"/>
    <x v="3"/>
    <s v="Casa usada"/>
    <n v="17817"/>
    <n v="20"/>
    <n v="5.25"/>
    <n v="90"/>
    <n v="1781.6999999999996"/>
    <n v="108.05293360594095"/>
    <n v="187.9"/>
    <n v="57.505552743981347"/>
    <x v="1"/>
  </r>
  <r>
    <s v="HIP-100092"/>
    <s v="2025-02-08"/>
    <s v="Viña del Mar"/>
    <x v="2"/>
    <s v="D. Araya"/>
    <x v="4"/>
    <s v="Casa usada"/>
    <n v="11426"/>
    <n v="30"/>
    <n v="4.92"/>
    <n v="75"/>
    <n v="2856.5"/>
    <n v="45.584857732320671"/>
    <n v="143.4"/>
    <n v="31.788603718494191"/>
    <x v="3"/>
  </r>
  <r>
    <s v="HIP-100093"/>
    <s v="2025-06-28"/>
    <s v="Talcahuano"/>
    <x v="1"/>
    <s v="D. Araya"/>
    <x v="4"/>
    <s v="Casa usada"/>
    <n v="4398"/>
    <n v="20"/>
    <n v="3.97"/>
    <n v="80"/>
    <n v="879.5999999999998"/>
    <n v="21.265234273160615"/>
    <n v="50"/>
    <n v="42.530468546321231"/>
    <x v="2"/>
  </r>
  <r>
    <s v="HIP-100094"/>
    <s v="2025-11-19"/>
    <s v="Talca"/>
    <x v="9"/>
    <s v="M. Silva"/>
    <x v="3"/>
    <s v="Departamento usado"/>
    <n v="17781"/>
    <n v="30"/>
    <n v="4.84"/>
    <n v="70"/>
    <n v="5334.3000000000011"/>
    <n v="65.604795512380264"/>
    <n v="223.7"/>
    <n v="29.327132549119479"/>
    <x v="1"/>
  </r>
  <r>
    <s v="HIP-100095"/>
    <s v="2025-05-27"/>
    <s v="Valdivia"/>
    <x v="5"/>
    <s v="D. Araya"/>
    <x v="4"/>
    <s v="Casa usada"/>
    <n v="17736"/>
    <n v="30"/>
    <n v="5.58"/>
    <n v="90"/>
    <n v="1773.5999999999997"/>
    <n v="91.435573487824371"/>
    <n v="190.9"/>
    <n v="47.897105022432882"/>
    <x v="1"/>
  </r>
  <r>
    <s v="HIP-100096"/>
    <s v="2025-07-17"/>
    <s v="La Serena"/>
    <x v="6"/>
    <s v="R. Pinto"/>
    <x v="3"/>
    <s v="Casa nueva"/>
    <n v="8451"/>
    <n v="25"/>
    <n v="4.6399999999999997"/>
    <n v="80"/>
    <n v="1690.1999999999996"/>
    <n v="38.117979512570116"/>
    <n v="94.8"/>
    <n v="40.20883914828071"/>
    <x v="3"/>
  </r>
  <r>
    <s v="HIP-100097"/>
    <s v="2025-12-28"/>
    <s v="La Serena"/>
    <x v="6"/>
    <s v="F. Soto"/>
    <x v="1"/>
    <s v="Casa nueva"/>
    <n v="5396"/>
    <n v="20"/>
    <n v="4.83"/>
    <n v="80"/>
    <n v="1079.1999999999998"/>
    <n v="28.085135378885816"/>
    <n v="73"/>
    <n v="38.472788190254541"/>
    <x v="3"/>
  </r>
  <r>
    <s v="HIP-100098"/>
    <s v="2025-04-12"/>
    <s v="Chillán"/>
    <x v="11"/>
    <s v="S. Bravo"/>
    <x v="1"/>
    <s v="Casa nueva"/>
    <n v="17700"/>
    <n v="15"/>
    <n v="4.3099999999999996"/>
    <n v="70"/>
    <n v="5310.0000000000009"/>
    <n v="93.583982079156627"/>
    <n v="241.5"/>
    <n v="38.75113129571703"/>
    <x v="2"/>
  </r>
  <r>
    <s v="HIP-100099"/>
    <s v="2025-04-11"/>
    <s v="Talca"/>
    <x v="9"/>
    <s v="T. Núñez"/>
    <x v="2"/>
    <s v="Casa nueva"/>
    <n v="3096"/>
    <n v="15"/>
    <n v="5.35"/>
    <n v="85"/>
    <n v="464.40000000000009"/>
    <n v="21.293471789674971"/>
    <n v="50.7"/>
    <n v="41.99895816503939"/>
    <x v="2"/>
  </r>
  <r>
    <s v="HIP-100100"/>
    <s v="2025-04-28"/>
    <s v="Maipú"/>
    <x v="0"/>
    <s v="B. Reyes"/>
    <x v="0"/>
    <s v="Departamento usado"/>
    <n v="7125"/>
    <n v="20"/>
    <n v="4.1399999999999997"/>
    <n v="80"/>
    <n v="1424.9999999999998"/>
    <n v="34.962817278809709"/>
    <n v="110.5"/>
    <n v="31.640558623357201"/>
    <x v="0"/>
  </r>
  <r>
    <s v="HIP-100101"/>
    <s v="2025-09-26"/>
    <s v="Maipú"/>
    <x v="0"/>
    <s v="M. Silva"/>
    <x v="4"/>
    <s v="Casa usada"/>
    <n v="3004"/>
    <n v="30"/>
    <n v="4.78"/>
    <n v="70"/>
    <n v="901.20000000000016"/>
    <n v="11.007256541697664"/>
    <n v="41.3"/>
    <n v="26.6519528854665"/>
    <x v="0"/>
  </r>
  <r>
    <s v="HIP-100102"/>
    <s v="2025-06-24"/>
    <s v="Iquique"/>
    <x v="8"/>
    <s v="R. Pinto"/>
    <x v="1"/>
    <s v="Casa nueva"/>
    <n v="8226"/>
    <n v="25"/>
    <n v="5.12"/>
    <n v="80"/>
    <n v="1645.1999999999996"/>
    <n v="38.932197960860314"/>
    <n v="98.5"/>
    <n v="39.5250740719394"/>
    <x v="3"/>
  </r>
  <r>
    <s v="HIP-100103"/>
    <s v="2025-06-06"/>
    <s v="Maipú"/>
    <x v="0"/>
    <s v="P. Vega"/>
    <x v="1"/>
    <s v="Casa usada"/>
    <n v="11441"/>
    <n v="30"/>
    <n v="4.4800000000000004"/>
    <n v="90"/>
    <n v="1144.0999999999997"/>
    <n v="52.050587361168724"/>
    <n v="131.4"/>
    <n v="39.612319148530226"/>
    <x v="2"/>
  </r>
  <r>
    <s v="HIP-100104"/>
    <s v="2025-02-14"/>
    <s v="La Serena"/>
    <x v="6"/>
    <s v="F. Soto"/>
    <x v="1"/>
    <s v="Departamento nuevo"/>
    <n v="6766"/>
    <n v="30"/>
    <n v="5.07"/>
    <n v="80"/>
    <n v="1353.1999999999996"/>
    <n v="29.289085948174609"/>
    <n v="100.3"/>
    <n v="29.201481503663619"/>
    <x v="3"/>
  </r>
  <r>
    <s v="HIP-100105"/>
    <s v="2025-01-18"/>
    <s v="Talcahuano"/>
    <x v="1"/>
    <s v="J. Cáceres"/>
    <x v="0"/>
    <s v="Departamento nuevo"/>
    <n v="10201"/>
    <n v="20"/>
    <n v="4.6900000000000004"/>
    <n v="90"/>
    <n v="1020.0999999999998"/>
    <n v="59.028720823645564"/>
    <n v="113.6"/>
    <n v="51.96190213349081"/>
    <x v="0"/>
  </r>
  <r>
    <s v="HIP-100106"/>
    <s v="2025-06-27"/>
    <s v="Viña del Mar"/>
    <x v="2"/>
    <s v="J. Cáceres"/>
    <x v="0"/>
    <s v="Departamento nuevo"/>
    <n v="17219"/>
    <n v="20"/>
    <n v="4.1100000000000003"/>
    <n v="80"/>
    <n v="3443.7999999999993"/>
    <n v="84.275606820557755"/>
    <n v="265.39999999999998"/>
    <n v="31.754184936155898"/>
    <x v="1"/>
  </r>
  <r>
    <s v="HIP-100107"/>
    <s v="2025-12-21"/>
    <s v="Antofagasta"/>
    <x v="7"/>
    <s v="P. Vega"/>
    <x v="1"/>
    <s v="Departamento nuevo"/>
    <n v="8199"/>
    <n v="25"/>
    <n v="5.0599999999999996"/>
    <n v="80"/>
    <n v="1639.7999999999997"/>
    <n v="38.574072699002166"/>
    <n v="117"/>
    <n v="32.969292905130054"/>
    <x v="1"/>
  </r>
  <r>
    <s v="HIP-100108"/>
    <s v="2025-11-15"/>
    <s v="Talca"/>
    <x v="9"/>
    <s v="S. Bravo"/>
    <x v="0"/>
    <s v="Departamento nuevo"/>
    <n v="10895"/>
    <n v="20"/>
    <n v="3.93"/>
    <n v="80"/>
    <n v="2178.9999999999995"/>
    <n v="52.496308167948882"/>
    <n v="154.6"/>
    <n v="33.956214856370558"/>
    <x v="2"/>
  </r>
  <r>
    <s v="HIP-100109"/>
    <s v="2025-01-12"/>
    <s v="Iquique"/>
    <x v="8"/>
    <s v="M. Silva"/>
    <x v="4"/>
    <s v="Departamento usado"/>
    <n v="2226"/>
    <n v="15"/>
    <n v="5.54"/>
    <n v="80"/>
    <n v="445.19999999999987"/>
    <n v="14.588449151719635"/>
    <n v="29.1"/>
    <n v="50.132127669139635"/>
    <x v="2"/>
  </r>
  <r>
    <s v="HIP-100110"/>
    <s v="2025-07-09"/>
    <s v="Antofagasta"/>
    <x v="7"/>
    <s v="C. Tapia"/>
    <x v="4"/>
    <s v="Departamento nuevo"/>
    <n v="16589"/>
    <n v="30"/>
    <n v="4.3899999999999997"/>
    <n v="75"/>
    <n v="4147.25"/>
    <n v="62.229949123368129"/>
    <n v="260.3"/>
    <n v="23.907010804213648"/>
    <x v="2"/>
  </r>
  <r>
    <s v="HIP-100111"/>
    <s v="2025-01-23"/>
    <s v="Viña del Mar"/>
    <x v="2"/>
    <s v="D. Araya"/>
    <x v="2"/>
    <s v="Departamento usado"/>
    <n v="3202"/>
    <n v="25"/>
    <n v="4.92"/>
    <n v="85"/>
    <n v="480.30000000000007"/>
    <n v="15.784186714310101"/>
    <n v="40.200000000000003"/>
    <n v="39.264146055497761"/>
    <x v="2"/>
  </r>
  <r>
    <s v="HIP-100112"/>
    <s v="2025-07-08"/>
    <s v="Maipú"/>
    <x v="0"/>
    <s v="G. Herrera"/>
    <x v="1"/>
    <s v="Casa nueva"/>
    <n v="16479"/>
    <n v="30"/>
    <n v="5.41"/>
    <n v="80"/>
    <n v="3295.7999999999993"/>
    <n v="74.11004097838557"/>
    <n v="183.1"/>
    <n v="40.475172571483107"/>
    <x v="2"/>
  </r>
  <r>
    <s v="HIP-100113"/>
    <s v="2025-08-27"/>
    <s v="La Florida"/>
    <x v="0"/>
    <s v="B. Reyes"/>
    <x v="0"/>
    <s v="Casa nueva"/>
    <n v="13981"/>
    <n v="30"/>
    <n v="4.45"/>
    <n v="80"/>
    <n v="2796.1999999999994"/>
    <n v="56.339935930527183"/>
    <n v="180.9"/>
    <n v="31.14424318989894"/>
    <x v="2"/>
  </r>
  <r>
    <s v="HIP-100114"/>
    <s v="2025-07-10"/>
    <s v="Las Condes"/>
    <x v="0"/>
    <s v="C. Tapia"/>
    <x v="3"/>
    <s v="Departamento nuevo"/>
    <n v="12053"/>
    <n v="25"/>
    <n v="4.21"/>
    <n v="80"/>
    <n v="2410.5999999999995"/>
    <n v="52.020830490634687"/>
    <n v="144.1"/>
    <n v="36.100506933126084"/>
    <x v="0"/>
  </r>
  <r>
    <s v="HIP-100115"/>
    <s v="2025-07-27"/>
    <s v="Arica"/>
    <x v="4"/>
    <s v="P. Vega"/>
    <x v="4"/>
    <s v="Departamento usado"/>
    <n v="11987"/>
    <n v="20"/>
    <n v="5.39"/>
    <n v="80"/>
    <n v="2397.3999999999996"/>
    <n v="65.371283790494374"/>
    <n v="139.19999999999999"/>
    <n v="46.962129159837914"/>
    <x v="2"/>
  </r>
  <r>
    <s v="HIP-100116"/>
    <s v="2025-04-09"/>
    <s v="Talca"/>
    <x v="9"/>
    <s v="P. Vega"/>
    <x v="4"/>
    <s v="Casa usada"/>
    <n v="4892"/>
    <n v="20"/>
    <n v="5.35"/>
    <n v="85"/>
    <n v="733.80000000000007"/>
    <n v="28.25259669529396"/>
    <n v="73.2"/>
    <n v="38.596443572805953"/>
    <x v="2"/>
  </r>
  <r>
    <s v="HIP-100117"/>
    <s v="2025-07-03"/>
    <s v="Puerto Montt"/>
    <x v="10"/>
    <s v="C. Tapia"/>
    <x v="2"/>
    <s v="Departamento usado"/>
    <n v="17458"/>
    <n v="30"/>
    <n v="5.79"/>
    <n v="80"/>
    <n v="3491.599999999999"/>
    <n v="81.859358565946025"/>
    <n v="223.6"/>
    <n v="36.609731022337222"/>
    <x v="2"/>
  </r>
  <r>
    <s v="HIP-100118"/>
    <s v="2025-04-07"/>
    <s v="Valdivia"/>
    <x v="5"/>
    <s v="R. Pinto"/>
    <x v="2"/>
    <s v="Departamento nuevo"/>
    <n v="3032"/>
    <n v="25"/>
    <n v="4.97"/>
    <n v="90"/>
    <n v="303.19999999999993"/>
    <n v="15.904633322855881"/>
    <n v="39.5"/>
    <n v="40.264894488242739"/>
    <x v="0"/>
  </r>
  <r>
    <s v="HIP-100119"/>
    <s v="2025-06-26"/>
    <s v="Valdivia"/>
    <x v="5"/>
    <s v="E. Castro"/>
    <x v="3"/>
    <s v="Casa usada"/>
    <n v="3970"/>
    <n v="25"/>
    <n v="4.38"/>
    <n v="70"/>
    <n v="1191.0000000000002"/>
    <n v="15.25791160384048"/>
    <n v="56.2"/>
    <n v="27.149308903630747"/>
    <x v="1"/>
  </r>
  <r>
    <s v="HIP-100120"/>
    <s v="2025-04-25"/>
    <s v="Valparaíso"/>
    <x v="2"/>
    <s v="M. Silva"/>
    <x v="3"/>
    <s v="Departamento nuevo"/>
    <n v="9316"/>
    <n v="30"/>
    <n v="5.03"/>
    <n v="80"/>
    <n v="1863.1999999999996"/>
    <n v="40.144998359603875"/>
    <n v="98.4"/>
    <n v="40.797762560573041"/>
    <x v="1"/>
  </r>
  <r>
    <s v="HIP-100121"/>
    <s v="2025-12-09"/>
    <s v="Concepción"/>
    <x v="1"/>
    <s v="P. Vega"/>
    <x v="4"/>
    <s v="Casa nueva"/>
    <n v="16633"/>
    <n v="20"/>
    <n v="4.41"/>
    <n v="80"/>
    <n v="3326.5999999999995"/>
    <n v="83.537789114892846"/>
    <n v="183.6"/>
    <n v="45.499885138830528"/>
    <x v="2"/>
  </r>
  <r>
    <s v="HIP-100122"/>
    <s v="2025-02-09"/>
    <s v="Temuco"/>
    <x v="3"/>
    <s v="M. Silva"/>
    <x v="4"/>
    <s v="Casa nueva"/>
    <n v="9400"/>
    <n v="20"/>
    <n v="4.47"/>
    <n v="85"/>
    <n v="1410.0000000000002"/>
    <n v="50.419388514064288"/>
    <n v="102.8"/>
    <n v="49.04609777632713"/>
    <x v="2"/>
  </r>
  <r>
    <s v="HIP-100123"/>
    <s v="2025-07-03"/>
    <s v="Temuco"/>
    <x v="3"/>
    <s v="V. Morales"/>
    <x v="3"/>
    <s v="Casa usada"/>
    <n v="16963"/>
    <n v="15"/>
    <n v="3.96"/>
    <n v="80"/>
    <n v="3392.5999999999995"/>
    <n v="100.10680968325748"/>
    <n v="268.89999999999998"/>
    <n v="37.228266895967828"/>
    <x v="2"/>
  </r>
  <r>
    <s v="HIP-100124"/>
    <s v="2025-08-17"/>
    <s v="Talcahuano"/>
    <x v="1"/>
    <s v="E. Castro"/>
    <x v="4"/>
    <s v="Departamento nuevo"/>
    <n v="10420"/>
    <n v="25"/>
    <n v="4.32"/>
    <n v="80"/>
    <n v="2083.9999999999995"/>
    <n v="45.486648633427336"/>
    <n v="117.5"/>
    <n v="38.712041390150922"/>
    <x v="0"/>
  </r>
  <r>
    <s v="HIP-100125"/>
    <s v="2025-01-21"/>
    <s v="Talca"/>
    <x v="9"/>
    <s v="G. Herrera"/>
    <x v="2"/>
    <s v="Departamento nuevo"/>
    <n v="4831"/>
    <n v="20"/>
    <n v="4.95"/>
    <n v="80"/>
    <n v="966.19999999999982"/>
    <n v="25.399340435403985"/>
    <n v="70.2"/>
    <n v="36.18139663162961"/>
    <x v="2"/>
  </r>
  <r>
    <s v="HIP-100126"/>
    <s v="2025-07-15"/>
    <s v="Santiago Centro"/>
    <x v="0"/>
    <s v="S. Bravo"/>
    <x v="1"/>
    <s v="Casa nueva"/>
    <n v="9295"/>
    <n v="30"/>
    <n v="5.15"/>
    <n v="80"/>
    <n v="1858.9999999999995"/>
    <n v="40.602510151901264"/>
    <n v="155.4"/>
    <n v="26.127741410489875"/>
    <x v="2"/>
  </r>
  <r>
    <s v="HIP-100127"/>
    <s v="2025-02-08"/>
    <s v="Talcahuano"/>
    <x v="1"/>
    <s v="A. Rojas"/>
    <x v="4"/>
    <s v="Casa usada"/>
    <n v="12148"/>
    <n v="20"/>
    <n v="5.77"/>
    <n v="80"/>
    <n v="2429.5999999999995"/>
    <n v="68.342292764350631"/>
    <n v="130.30000000000001"/>
    <n v="52.449956073945224"/>
    <x v="2"/>
  </r>
  <r>
    <s v="HIP-100128"/>
    <s v="2025-12-17"/>
    <s v="Las Condes"/>
    <x v="0"/>
    <s v="D. Araya"/>
    <x v="4"/>
    <s v="Departamento nuevo"/>
    <n v="4349"/>
    <n v="30"/>
    <n v="5.7"/>
    <n v="75"/>
    <n v="1087.25"/>
    <n v="18.931210946132246"/>
    <n v="49.7"/>
    <n v="38.090967698455216"/>
    <x v="2"/>
  </r>
  <r>
    <s v="HIP-100129"/>
    <s v="2025-07-10"/>
    <s v="Temuco"/>
    <x v="3"/>
    <s v="J. Cáceres"/>
    <x v="4"/>
    <s v="Departamento usado"/>
    <n v="10677"/>
    <n v="20"/>
    <n v="4.07"/>
    <n v="80"/>
    <n v="2135.3999999999996"/>
    <n v="52.076017175247586"/>
    <n v="120"/>
    <n v="43.396680979372988"/>
    <x v="0"/>
  </r>
  <r>
    <s v="HIP-100130"/>
    <s v="2025-06-23"/>
    <s v="Talcahuano"/>
    <x v="1"/>
    <s v="B. Reyes"/>
    <x v="3"/>
    <s v="Departamento nuevo"/>
    <n v="10574"/>
    <n v="30"/>
    <n v="4.2699999999999996"/>
    <n v="80"/>
    <n v="2114.7999999999997"/>
    <n v="41.71328405203235"/>
    <n v="169.3"/>
    <n v="24.638679298306172"/>
    <x v="2"/>
  </r>
  <r>
    <s v="HIP-100131"/>
    <s v="2025-12-25"/>
    <s v="Concepción"/>
    <x v="1"/>
    <s v="D. Araya"/>
    <x v="3"/>
    <s v="Departamento nuevo"/>
    <n v="11767"/>
    <n v="25"/>
    <n v="5.5"/>
    <n v="70"/>
    <n v="3530.1000000000004"/>
    <n v="50.581772651732422"/>
    <n v="126.8"/>
    <n v="39.890987895688028"/>
    <x v="2"/>
  </r>
  <r>
    <s v="HIP-100132"/>
    <s v="2025-05-27"/>
    <s v="Las Condes"/>
    <x v="0"/>
    <s v="V. Morales"/>
    <x v="4"/>
    <s v="Departamento nuevo"/>
    <n v="12974"/>
    <n v="15"/>
    <n v="5.35"/>
    <n v="80"/>
    <n v="2594.7999999999993"/>
    <n v="83.982825049169506"/>
    <n v="172"/>
    <n v="48.827223865796228"/>
    <x v="3"/>
  </r>
  <r>
    <s v="HIP-100133"/>
    <s v="2025-02-23"/>
    <s v="Providencia"/>
    <x v="0"/>
    <s v="V. Morales"/>
    <x v="2"/>
    <s v="Casa nueva"/>
    <n v="13144"/>
    <n v="25"/>
    <n v="5.54"/>
    <n v="75"/>
    <n v="3286"/>
    <n v="60.772456288649472"/>
    <n v="141.4"/>
    <n v="42.979106286173604"/>
    <x v="2"/>
  </r>
  <r>
    <s v="HIP-100134"/>
    <s v="2025-10-22"/>
    <s v="Talcahuano"/>
    <x v="1"/>
    <s v="N. Fuentes"/>
    <x v="2"/>
    <s v="Casa nueva"/>
    <n v="12712"/>
    <n v="20"/>
    <n v="4.97"/>
    <n v="80"/>
    <n v="2542.3999999999996"/>
    <n v="66.946436263712314"/>
    <n v="147.69999999999999"/>
    <n v="45.325955493373272"/>
    <x v="0"/>
  </r>
  <r>
    <s v="HIP-100135"/>
    <s v="2025-12-24"/>
    <s v="Chillán"/>
    <x v="11"/>
    <s v="C. Tapia"/>
    <x v="1"/>
    <s v="Casa usada"/>
    <n v="5887"/>
    <n v="20"/>
    <n v="4.66"/>
    <n v="75"/>
    <n v="1471.75"/>
    <n v="28.315820940182839"/>
    <n v="83.3"/>
    <n v="33.992582161083838"/>
    <x v="1"/>
  </r>
  <r>
    <s v="HIP-100136"/>
    <s v="2025-09-23"/>
    <s v="Rancagua"/>
    <x v="12"/>
    <s v="L. Muñoz"/>
    <x v="1"/>
    <s v="Casa nueva"/>
    <n v="2647"/>
    <n v="15"/>
    <n v="5.76"/>
    <n v="70"/>
    <n v="794.10000000000014"/>
    <n v="15.396592057961515"/>
    <n v="33.1"/>
    <n v="46.515383860910916"/>
    <x v="2"/>
  </r>
  <r>
    <s v="HIP-100137"/>
    <s v="2025-08-02"/>
    <s v="Santiago Centro"/>
    <x v="0"/>
    <s v="E. Castro"/>
    <x v="1"/>
    <s v="Casa nueva"/>
    <n v="8821"/>
    <n v="15"/>
    <n v="4.28"/>
    <n v="90"/>
    <n v="882.0999999999998"/>
    <n v="59.843240911767168"/>
    <n v="112"/>
    <n v="53.431465099792121"/>
    <x v="2"/>
  </r>
  <r>
    <s v="HIP-100138"/>
    <s v="2025-01-12"/>
    <s v="Concepción"/>
    <x v="1"/>
    <s v="P. Vega"/>
    <x v="4"/>
    <s v="Casa nueva"/>
    <n v="4791"/>
    <n v="20"/>
    <n v="4.9000000000000004"/>
    <n v="80"/>
    <n v="958.19999999999982"/>
    <n v="25.083531509189932"/>
    <n v="64.7"/>
    <n v="38.76898223986079"/>
    <x v="3"/>
  </r>
  <r>
    <s v="HIP-100139"/>
    <s v="2025-02-04"/>
    <s v="Rancagua"/>
    <x v="12"/>
    <s v="R. Pinto"/>
    <x v="2"/>
    <s v="Departamento usado"/>
    <n v="5432"/>
    <n v="15"/>
    <n v="4.05"/>
    <n v="75"/>
    <n v="1358"/>
    <n v="30.237066734372799"/>
    <n v="96.8"/>
    <n v="31.236639188401654"/>
    <x v="2"/>
  </r>
  <r>
    <s v="HIP-100140"/>
    <s v="2025-05-01"/>
    <s v="Las Condes"/>
    <x v="0"/>
    <s v="C. Tapia"/>
    <x v="3"/>
    <s v="Casa nueva"/>
    <n v="17172"/>
    <n v="20"/>
    <n v="4.22"/>
    <n v="75"/>
    <n v="4293"/>
    <n v="79.54527044292702"/>
    <n v="201.5"/>
    <n v="39.476561013859559"/>
    <x v="3"/>
  </r>
  <r>
    <s v="HIP-100141"/>
    <s v="2025-02-11"/>
    <s v="Iquique"/>
    <x v="8"/>
    <s v="L. Muñoz"/>
    <x v="2"/>
    <s v="Casa usada"/>
    <n v="14935"/>
    <n v="20"/>
    <n v="5.64"/>
    <n v="70"/>
    <n v="4480.5000000000009"/>
    <n v="72.744337900787855"/>
    <n v="164.9"/>
    <n v="44.114213402539633"/>
    <x v="3"/>
  </r>
  <r>
    <s v="HIP-100142"/>
    <s v="2025-01-17"/>
    <s v="Puerto Montt"/>
    <x v="10"/>
    <s v="V. Morales"/>
    <x v="1"/>
    <s v="Casa usada"/>
    <n v="14306"/>
    <n v="30"/>
    <n v="5.44"/>
    <n v="80"/>
    <n v="2861.1999999999994"/>
    <n v="64.552133368071111"/>
    <n v="256.3"/>
    <n v="25.186162063234924"/>
    <x v="0"/>
  </r>
  <r>
    <s v="HIP-100143"/>
    <s v="2025-12-06"/>
    <s v="Copiapó"/>
    <x v="13"/>
    <s v="J. Cáceres"/>
    <x v="0"/>
    <s v="Casa usada"/>
    <n v="4862"/>
    <n v="30"/>
    <n v="4.87"/>
    <n v="85"/>
    <n v="729.30000000000007"/>
    <n v="21.858047694740016"/>
    <n v="54"/>
    <n v="40.477866101370402"/>
    <x v="2"/>
  </r>
  <r>
    <s v="HIP-100144"/>
    <s v="2025-01-27"/>
    <s v="Iquique"/>
    <x v="8"/>
    <s v="P. Vega"/>
    <x v="3"/>
    <s v="Departamento usado"/>
    <n v="12791"/>
    <n v="15"/>
    <n v="4.87"/>
    <n v="70"/>
    <n v="3837.3000000000006"/>
    <n v="70.200430112223017"/>
    <n v="183.5"/>
    <n v="38.256365183772765"/>
    <x v="2"/>
  </r>
  <r>
    <s v="HIP-100145"/>
    <s v="2025-10-20"/>
    <s v="Arica"/>
    <x v="4"/>
    <s v="V. Morales"/>
    <x v="1"/>
    <s v="Departamento nuevo"/>
    <n v="17755"/>
    <n v="15"/>
    <n v="5.16"/>
    <n v="80"/>
    <n v="3550.9999999999991"/>
    <n v="113.51174761332439"/>
    <n v="201.9"/>
    <n v="56.221767019972461"/>
    <x v="2"/>
  </r>
  <r>
    <s v="HIP-100146"/>
    <s v="2025-06-02"/>
    <s v="Valdivia"/>
    <x v="5"/>
    <s v="T. Núñez"/>
    <x v="4"/>
    <s v="Departamento usado"/>
    <n v="17473"/>
    <n v="20"/>
    <n v="5.45"/>
    <n v="70"/>
    <n v="5241.9000000000005"/>
    <n v="83.79115414150489"/>
    <n v="246.8"/>
    <n v="33.951034903365027"/>
    <x v="2"/>
  </r>
  <r>
    <s v="HIP-100147"/>
    <s v="2025-10-15"/>
    <s v="Antofagasta"/>
    <x v="7"/>
    <s v="F. Soto"/>
    <x v="3"/>
    <s v="Departamento nuevo"/>
    <n v="10556"/>
    <n v="15"/>
    <n v="4.16"/>
    <n v="70"/>
    <n v="3166.8000000000006"/>
    <n v="55.251374062765173"/>
    <n v="144.19999999999999"/>
    <n v="38.315793386106222"/>
    <x v="3"/>
  </r>
  <r>
    <s v="HIP-100148"/>
    <s v="2025-04-27"/>
    <s v="Talcahuano"/>
    <x v="1"/>
    <s v="F. Soto"/>
    <x v="4"/>
    <s v="Departamento usado"/>
    <n v="14829"/>
    <n v="25"/>
    <n v="5.44"/>
    <n v="80"/>
    <n v="2965.7999999999993"/>
    <n v="72.42596248179656"/>
    <n v="264.8"/>
    <n v="27.351194290708669"/>
    <x v="2"/>
  </r>
  <r>
    <s v="HIP-100149"/>
    <s v="2025-12-23"/>
    <s v="Chillán"/>
    <x v="11"/>
    <s v="F. Soto"/>
    <x v="3"/>
    <s v="Departamento nuevo"/>
    <n v="4047"/>
    <n v="20"/>
    <n v="3.95"/>
    <n v="80"/>
    <n v="809.39999999999986"/>
    <n v="19.534024442193914"/>
    <n v="67"/>
    <n v="29.155260361483453"/>
    <x v="2"/>
  </r>
  <r>
    <s v="HIP-100150"/>
    <s v="2025-12-01"/>
    <s v="Puerto Montt"/>
    <x v="10"/>
    <s v="B. Reyes"/>
    <x v="0"/>
    <s v="Departamento nuevo"/>
    <n v="2229"/>
    <n v="15"/>
    <n v="5.57"/>
    <n v="85"/>
    <n v="334.35"/>
    <n v="15.551339471499833"/>
    <n v="37.299999999999997"/>
    <n v="41.692599119302507"/>
    <x v="2"/>
  </r>
  <r>
    <s v="HIP-100151"/>
    <s v="2025-02-11"/>
    <s v="Temuco"/>
    <x v="3"/>
    <s v="L. Muñoz"/>
    <x v="1"/>
    <s v="Departamento usado"/>
    <n v="16515"/>
    <n v="15"/>
    <n v="5.46"/>
    <n v="75"/>
    <n v="4128.75"/>
    <n v="100.9432793189245"/>
    <n v="257.10000000000002"/>
    <n v="39.262263445711589"/>
    <x v="1"/>
  </r>
  <r>
    <s v="HIP-100152"/>
    <s v="2025-07-19"/>
    <s v="Viña del Mar"/>
    <x v="2"/>
    <s v="L. Muñoz"/>
    <x v="2"/>
    <s v="Departamento usado"/>
    <n v="13535"/>
    <n v="20"/>
    <n v="5.78"/>
    <n v="80"/>
    <n v="2706.9999999999995"/>
    <n v="76.207166969021898"/>
    <n v="178"/>
    <n v="42.8130151511359"/>
    <x v="0"/>
  </r>
  <r>
    <s v="HIP-100153"/>
    <s v="2025-12-02"/>
    <s v="Rancagua"/>
    <x v="12"/>
    <s v="P. Vega"/>
    <x v="0"/>
    <s v="Casa usada"/>
    <n v="3076"/>
    <n v="30"/>
    <n v="5.0199999999999996"/>
    <n v="85"/>
    <n v="461.40000000000009"/>
    <n v="14.067714177428035"/>
    <n v="51.8"/>
    <n v="27.1577493772742"/>
    <x v="2"/>
  </r>
  <r>
    <s v="HIP-100154"/>
    <s v="2025-06-13"/>
    <s v="Chillán"/>
    <x v="11"/>
    <s v="G. Herrera"/>
    <x v="1"/>
    <s v="Departamento usado"/>
    <n v="2191"/>
    <n v="20"/>
    <n v="4.1399999999999997"/>
    <n v="80"/>
    <n v="438.19999999999987"/>
    <n v="10.751373004613622"/>
    <n v="30.8"/>
    <n v="34.907055209784488"/>
    <x v="1"/>
  </r>
  <r>
    <s v="HIP-100155"/>
    <s v="2025-05-08"/>
    <s v="Valparaíso"/>
    <x v="2"/>
    <s v="C. Tapia"/>
    <x v="3"/>
    <s v="Departamento usado"/>
    <n v="6378"/>
    <n v="25"/>
    <n v="5.56"/>
    <n v="90"/>
    <n v="637.79999999999984"/>
    <n v="35.455826694122628"/>
    <n v="94"/>
    <n v="37.718964568215561"/>
    <x v="2"/>
  </r>
  <r>
    <s v="HIP-100156"/>
    <s v="2025-02-02"/>
    <s v="La Serena"/>
    <x v="6"/>
    <s v="E. Castro"/>
    <x v="1"/>
    <s v="Departamento usado"/>
    <n v="4696"/>
    <n v="30"/>
    <n v="4.82"/>
    <n v="70"/>
    <n v="1408.8000000000002"/>
    <n v="17.286560730976309"/>
    <n v="55.9"/>
    <n v="30.924080019635614"/>
    <x v="2"/>
  </r>
  <r>
    <s v="HIP-100157"/>
    <s v="2025-03-25"/>
    <s v="Maipú"/>
    <x v="0"/>
    <s v="M. Silva"/>
    <x v="2"/>
    <s v="Casa usada"/>
    <n v="5385"/>
    <n v="20"/>
    <n v="4.04"/>
    <n v="80"/>
    <n v="1076.9999999999998"/>
    <n v="26.196522858785425"/>
    <n v="69.8"/>
    <n v="37.530835041239861"/>
    <x v="3"/>
  </r>
  <r>
    <s v="HIP-100158"/>
    <s v="2025-01-25"/>
    <s v="Valdivia"/>
    <x v="5"/>
    <s v="A. Rojas"/>
    <x v="1"/>
    <s v="Departamento nuevo"/>
    <n v="5686"/>
    <n v="15"/>
    <n v="4.6399999999999997"/>
    <n v="70"/>
    <n v="1705.8000000000002"/>
    <n v="30.733819478161216"/>
    <n v="90.6"/>
    <n v="33.922538055365578"/>
    <x v="2"/>
  </r>
  <r>
    <s v="HIP-100159"/>
    <s v="2025-06-01"/>
    <s v="Viña del Mar"/>
    <x v="2"/>
    <s v="N. Fuentes"/>
    <x v="3"/>
    <s v="Casa nueva"/>
    <n v="7349"/>
    <n v="20"/>
    <n v="3.9"/>
    <n v="85"/>
    <n v="1102.3500000000001"/>
    <n v="37.525125411368606"/>
    <n v="123.1"/>
    <n v="30.483448750096347"/>
    <x v="2"/>
  </r>
  <r>
    <s v="HIP-100160"/>
    <s v="2025-11-09"/>
    <s v="Copiapó"/>
    <x v="13"/>
    <s v="J. Cáceres"/>
    <x v="1"/>
    <s v="Casa usada"/>
    <n v="6267"/>
    <n v="25"/>
    <n v="3.93"/>
    <n v="80"/>
    <n v="1253.3999999999996"/>
    <n v="26.270233075098705"/>
    <n v="103.9"/>
    <n v="25.284151179113284"/>
    <x v="3"/>
  </r>
  <r>
    <s v="HIP-100161"/>
    <s v="2025-04-12"/>
    <s v="Providencia"/>
    <x v="0"/>
    <s v="G. Herrera"/>
    <x v="3"/>
    <s v="Casa nueva"/>
    <n v="16423"/>
    <n v="20"/>
    <n v="4.25"/>
    <n v="75"/>
    <n v="4105.75"/>
    <n v="76.272657654410608"/>
    <n v="197.7"/>
    <n v="38.579998813561261"/>
    <x v="2"/>
  </r>
  <r>
    <s v="HIP-100162"/>
    <s v="2025-09-15"/>
    <s v="Iquique"/>
    <x v="8"/>
    <s v="D. Araya"/>
    <x v="4"/>
    <s v="Departamento usado"/>
    <n v="2261"/>
    <n v="30"/>
    <n v="3.92"/>
    <n v="80"/>
    <n v="452.19999999999987"/>
    <n v="8.5522728642924744"/>
    <n v="24.7"/>
    <n v="34.624586495111231"/>
    <x v="3"/>
  </r>
  <r>
    <s v="HIP-100163"/>
    <s v="2025-12-11"/>
    <s v="Chillán"/>
    <x v="11"/>
    <s v="C. Tapia"/>
    <x v="2"/>
    <s v="Casa usada"/>
    <n v="5723"/>
    <n v="30"/>
    <n v="4.75"/>
    <n v="80"/>
    <n v="1144.5999999999997"/>
    <n v="23.883101654458429"/>
    <n v="64.8"/>
    <n v="36.856638355645728"/>
    <x v="2"/>
  </r>
  <r>
    <s v="HIP-100164"/>
    <s v="2025-11-16"/>
    <s v="Copiapó"/>
    <x v="13"/>
    <s v="B. Reyes"/>
    <x v="2"/>
    <s v="Departamento nuevo"/>
    <n v="13577"/>
    <n v="25"/>
    <n v="4.67"/>
    <n v="70"/>
    <n v="4073.1000000000008"/>
    <n v="53.746990800606589"/>
    <n v="205.6"/>
    <n v="26.14153249056741"/>
    <x v="2"/>
  </r>
  <r>
    <s v="HIP-100165"/>
    <s v="2025-10-08"/>
    <s v="Concepción"/>
    <x v="1"/>
    <s v="B. Reyes"/>
    <x v="4"/>
    <s v="Casa nueva"/>
    <n v="12419"/>
    <n v="20"/>
    <n v="3.94"/>
    <n v="80"/>
    <n v="2483.7999999999993"/>
    <n v="59.891711449440436"/>
    <n v="175.5"/>
    <n v="34.126331310222469"/>
    <x v="2"/>
  </r>
  <r>
    <s v="HIP-100166"/>
    <s v="2025-07-02"/>
    <s v="Arica"/>
    <x v="4"/>
    <s v="F. Soto"/>
    <x v="2"/>
    <s v="Departamento usado"/>
    <n v="5872"/>
    <n v="20"/>
    <n v="4.33"/>
    <n v="80"/>
    <n v="1174.3999999999996"/>
    <n v="29.289997059821314"/>
    <n v="79.8"/>
    <n v="36.704256967194631"/>
    <x v="3"/>
  </r>
  <r>
    <s v="HIP-100167"/>
    <s v="2025-08-15"/>
    <s v="Valdivia"/>
    <x v="5"/>
    <s v="D. Araya"/>
    <x v="1"/>
    <s v="Casa nueva"/>
    <n v="11794"/>
    <n v="25"/>
    <n v="4.66"/>
    <n v="80"/>
    <n v="2358.7999999999993"/>
    <n v="53.304447870500134"/>
    <n v="177.5"/>
    <n v="30.030674856619793"/>
    <x v="2"/>
  </r>
  <r>
    <s v="HIP-100168"/>
    <s v="2025-08-06"/>
    <s v="Concepción"/>
    <x v="1"/>
    <s v="G. Herrera"/>
    <x v="1"/>
    <s v="Departamento nuevo"/>
    <n v="8383"/>
    <n v="20"/>
    <n v="5.46"/>
    <n v="75"/>
    <n v="2095.75"/>
    <n v="43.107276954834333"/>
    <n v="95.2"/>
    <n v="45.280753103817581"/>
    <x v="2"/>
  </r>
  <r>
    <s v="HIP-100169"/>
    <s v="2025-06-13"/>
    <s v="Iquique"/>
    <x v="8"/>
    <s v="F. Soto"/>
    <x v="0"/>
    <s v="Departamento usado"/>
    <n v="7340"/>
    <n v="25"/>
    <n v="5.28"/>
    <n v="80"/>
    <n v="1467.9999999999998"/>
    <n v="35.291831639896451"/>
    <n v="128"/>
    <n v="27.571743468669101"/>
    <x v="2"/>
  </r>
  <r>
    <s v="HIP-100170"/>
    <s v="2025-10-14"/>
    <s v="Concepción"/>
    <x v="1"/>
    <s v="V. Morales"/>
    <x v="3"/>
    <s v="Casa usada"/>
    <n v="2059"/>
    <n v="30"/>
    <n v="4.91"/>
    <n v="80"/>
    <n v="411.7999999999999"/>
    <n v="8.7521452849559669"/>
    <n v="28.8"/>
    <n v="30.38939335054155"/>
    <x v="2"/>
  </r>
  <r>
    <s v="HIP-100171"/>
    <s v="2025-08-03"/>
    <s v="Copiapó"/>
    <x v="13"/>
    <s v="A. Rojas"/>
    <x v="1"/>
    <s v="Casa nueva"/>
    <n v="1928"/>
    <n v="25"/>
    <n v="4.88"/>
    <n v="90"/>
    <n v="192.79999999999995"/>
    <n v="10.022860386085439"/>
    <n v="25.7"/>
    <n v="38.999456755196263"/>
    <x v="2"/>
  </r>
  <r>
    <s v="HIP-100172"/>
    <s v="2025-09-26"/>
    <s v="Viña del Mar"/>
    <x v="2"/>
    <s v="T. Núñez"/>
    <x v="3"/>
    <s v="Casa usada"/>
    <n v="15628"/>
    <n v="30"/>
    <n v="4.84"/>
    <n v="70"/>
    <n v="4688.4000000000005"/>
    <n v="57.661084543472171"/>
    <n v="195"/>
    <n v="29.569786945370346"/>
    <x v="2"/>
  </r>
  <r>
    <s v="HIP-100173"/>
    <s v="2025-09-09"/>
    <s v="Copiapó"/>
    <x v="13"/>
    <s v="L. Muñoz"/>
    <x v="2"/>
    <s v="Casa usada"/>
    <n v="17822"/>
    <n v="25"/>
    <n v="4.17"/>
    <n v="85"/>
    <n v="2673.3"/>
    <n v="81.389203024259032"/>
    <n v="254"/>
    <n v="32.042993316637414"/>
    <x v="2"/>
  </r>
  <r>
    <s v="HIP-100174"/>
    <s v="2025-04-03"/>
    <s v="Talcahuano"/>
    <x v="1"/>
    <s v="J. Cáceres"/>
    <x v="4"/>
    <s v="Departamento usado"/>
    <n v="6008"/>
    <n v="30"/>
    <n v="4.63"/>
    <n v="75"/>
    <n v="1502"/>
    <n v="23.180612464100427"/>
    <n v="97.5"/>
    <n v="23.774987142667108"/>
    <x v="2"/>
  </r>
  <r>
    <s v="HIP-100175"/>
    <s v="2025-12-16"/>
    <s v="Talca"/>
    <x v="9"/>
    <s v="J. Cáceres"/>
    <x v="4"/>
    <s v="Departamento usado"/>
    <n v="11337"/>
    <n v="15"/>
    <n v="4.4400000000000004"/>
    <n v="85"/>
    <n v="1700.5500000000002"/>
    <n v="73.423042742843307"/>
    <n v="162.19999999999999"/>
    <n v="45.26698072924988"/>
    <x v="2"/>
  </r>
  <r>
    <s v="HIP-100176"/>
    <s v="2025-08-21"/>
    <s v="Temuco"/>
    <x v="3"/>
    <s v="M. Silva"/>
    <x v="0"/>
    <s v="Departamento usado"/>
    <n v="8747"/>
    <n v="30"/>
    <n v="4.57"/>
    <n v="75"/>
    <n v="2186.75"/>
    <n v="33.513235761334762"/>
    <n v="152.1"/>
    <n v="22.033685576156977"/>
    <x v="2"/>
  </r>
  <r>
    <s v="HIP-100177"/>
    <s v="2025-03-03"/>
    <s v="Valparaíso"/>
    <x v="2"/>
    <s v="F. Soto"/>
    <x v="3"/>
    <s v="Departamento usado"/>
    <n v="13141"/>
    <n v="25"/>
    <n v="4.6900000000000004"/>
    <n v="80"/>
    <n v="2628.1999999999994"/>
    <n v="59.573068633559487"/>
    <n v="214.4"/>
    <n v="27.785946191025879"/>
    <x v="0"/>
  </r>
  <r>
    <s v="HIP-100178"/>
    <s v="2025-04-17"/>
    <s v="Providencia"/>
    <x v="0"/>
    <s v="A. Rojas"/>
    <x v="3"/>
    <s v="Casa nueva"/>
    <n v="4336"/>
    <n v="25"/>
    <n v="4.42"/>
    <n v="80"/>
    <n v="867.19999999999982"/>
    <n v="19.123543768685916"/>
    <n v="74"/>
    <n v="25.842626714440424"/>
    <x v="2"/>
  </r>
  <r>
    <s v="HIP-100179"/>
    <s v="2025-06-05"/>
    <s v="Copiapó"/>
    <x v="13"/>
    <s v="E. Castro"/>
    <x v="0"/>
    <s v="Casa usada"/>
    <n v="2424"/>
    <n v="20"/>
    <n v="4.2300000000000004"/>
    <n v="80"/>
    <n v="484.7999999999999"/>
    <n v="11.987517799212265"/>
    <n v="26"/>
    <n v="46.105837689277941"/>
    <x v="2"/>
  </r>
  <r>
    <s v="HIP-100180"/>
    <s v="2025-02-16"/>
    <s v="Iquique"/>
    <x v="8"/>
    <s v="T. Núñez"/>
    <x v="4"/>
    <s v="Casa usada"/>
    <n v="6396"/>
    <n v="20"/>
    <n v="4.72"/>
    <n v="90"/>
    <n v="639.59999999999991"/>
    <n v="37.104968810344971"/>
    <n v="113.4"/>
    <n v="32.720431049686923"/>
    <x v="2"/>
  </r>
  <r>
    <s v="HIP-100181"/>
    <s v="2025-01-28"/>
    <s v="Antofagasta"/>
    <x v="7"/>
    <s v="T. Núñez"/>
    <x v="1"/>
    <s v="Casa nueva"/>
    <n v="6332"/>
    <n v="25"/>
    <n v="5.71"/>
    <n v="80"/>
    <n v="1266.3999999999996"/>
    <n v="31.745682784715871"/>
    <n v="88.6"/>
    <n v="35.830341743471635"/>
    <x v="1"/>
  </r>
  <r>
    <s v="HIP-100182"/>
    <s v="2025-05-11"/>
    <s v="Valdivia"/>
    <x v="5"/>
    <s v="D. Araya"/>
    <x v="1"/>
    <s v="Casa nueva"/>
    <n v="9063"/>
    <n v="20"/>
    <n v="5.25"/>
    <n v="80"/>
    <n v="1812.5999999999997"/>
    <n v="48.856397436687452"/>
    <n v="152"/>
    <n v="32.142366734662801"/>
    <x v="2"/>
  </r>
  <r>
    <s v="HIP-100183"/>
    <s v="2025-02-07"/>
    <s v="Santiago Centro"/>
    <x v="0"/>
    <s v="A. Rojas"/>
    <x v="3"/>
    <s v="Casa nueva"/>
    <n v="14694"/>
    <n v="20"/>
    <n v="4.71"/>
    <n v="80"/>
    <n v="2938.7999999999993"/>
    <n v="75.708319392125745"/>
    <n v="171.6"/>
    <n v="44.119067244828528"/>
    <x v="2"/>
  </r>
  <r>
    <s v="HIP-100184"/>
    <s v="2025-09-24"/>
    <s v="Puerto Montt"/>
    <x v="10"/>
    <s v="A. Rojas"/>
    <x v="1"/>
    <s v="Departamento nuevo"/>
    <n v="15176"/>
    <n v="30"/>
    <n v="5.23"/>
    <n v="80"/>
    <n v="3035.1999999999994"/>
    <n v="66.891631093355443"/>
    <n v="211.3"/>
    <n v="31.657184615880475"/>
    <x v="2"/>
  </r>
  <r>
    <s v="HIP-100185"/>
    <s v="2025-02-19"/>
    <s v="Las Condes"/>
    <x v="0"/>
    <s v="S. Bravo"/>
    <x v="2"/>
    <s v="Departamento nuevo"/>
    <n v="16990"/>
    <n v="20"/>
    <n v="4.62"/>
    <n v="80"/>
    <n v="3397.9999999999991"/>
    <n v="86.87261840504901"/>
    <n v="287.60000000000002"/>
    <n v="30.206056469071278"/>
    <x v="0"/>
  </r>
  <r>
    <s v="HIP-100186"/>
    <s v="2025-12-22"/>
    <s v="La Serena"/>
    <x v="6"/>
    <s v="M. Silva"/>
    <x v="3"/>
    <s v="Casa usada"/>
    <n v="13997"/>
    <n v="15"/>
    <n v="5.17"/>
    <n v="80"/>
    <n v="2799.3999999999992"/>
    <n v="89.544691772234742"/>
    <n v="210.1"/>
    <n v="42.620034160987501"/>
    <x v="2"/>
  </r>
  <r>
    <s v="HIP-100187"/>
    <s v="2025-09-21"/>
    <s v="Providencia"/>
    <x v="0"/>
    <s v="F. Soto"/>
    <x v="0"/>
    <s v="Casa nueva"/>
    <n v="6177"/>
    <n v="25"/>
    <n v="4.53"/>
    <n v="70"/>
    <n v="1853.1000000000004"/>
    <n v="24.107327544294691"/>
    <n v="71.3"/>
    <n v="33.811118575448376"/>
    <x v="2"/>
  </r>
  <r>
    <s v="HIP-100188"/>
    <s v="2025-11-08"/>
    <s v="Iquique"/>
    <x v="8"/>
    <s v="P. Vega"/>
    <x v="3"/>
    <s v="Departamento usado"/>
    <n v="12155"/>
    <n v="30"/>
    <n v="4.74"/>
    <n v="80"/>
    <n v="2430.9999999999995"/>
    <n v="50.666391558016151"/>
    <n v="136.30000000000001"/>
    <n v="37.172701069711039"/>
    <x v="3"/>
  </r>
  <r>
    <s v="HIP-100189"/>
    <s v="2025-06-10"/>
    <s v="Chillán"/>
    <x v="11"/>
    <s v="N. Fuentes"/>
    <x v="3"/>
    <s v="Departamento nuevo"/>
    <n v="9115"/>
    <n v="20"/>
    <n v="5.61"/>
    <n v="80"/>
    <n v="1822.9999999999995"/>
    <n v="50.614856968341982"/>
    <n v="164.3"/>
    <n v="30.80636455772488"/>
    <x v="2"/>
  </r>
  <r>
    <s v="HIP-100190"/>
    <s v="2025-06-12"/>
    <s v="Rancagua"/>
    <x v="12"/>
    <s v="F. Soto"/>
    <x v="0"/>
    <s v="Departamento nuevo"/>
    <n v="16587"/>
    <n v="30"/>
    <n v="5.43"/>
    <n v="75"/>
    <n v="4146.75"/>
    <n v="70.088978194258701"/>
    <n v="194.7"/>
    <n v="35.998447968289007"/>
    <x v="2"/>
  </r>
  <r>
    <s v="HIP-100191"/>
    <s v="2025-07-03"/>
    <s v="Antofagasta"/>
    <x v="7"/>
    <s v="J. Cáceres"/>
    <x v="0"/>
    <s v="Departamento usado"/>
    <n v="13135"/>
    <n v="20"/>
    <n v="3.96"/>
    <n v="80"/>
    <n v="2626.9999999999995"/>
    <n v="63.455151142763874"/>
    <n v="185.1"/>
    <n v="34.281551130612577"/>
    <x v="1"/>
  </r>
  <r>
    <s v="HIP-100192"/>
    <s v="2025-06-01"/>
    <s v="Iquique"/>
    <x v="8"/>
    <s v="P. Vega"/>
    <x v="4"/>
    <s v="Departamento nuevo"/>
    <n v="4101"/>
    <n v="30"/>
    <n v="4.63"/>
    <n v="80"/>
    <n v="820.19999999999982"/>
    <n v="16.877708249494159"/>
    <n v="53.5"/>
    <n v="31.547118223353564"/>
    <x v="2"/>
  </r>
  <r>
    <s v="HIP-100193"/>
    <s v="2025-04-03"/>
    <s v="Valparaíso"/>
    <x v="2"/>
    <s v="B. Reyes"/>
    <x v="4"/>
    <s v="Casa nueva"/>
    <n v="16726"/>
    <n v="20"/>
    <n v="5.22"/>
    <n v="80"/>
    <n v="3345.1999999999994"/>
    <n v="89.941636932016152"/>
    <n v="253.6"/>
    <n v="35.465945162466937"/>
    <x v="0"/>
  </r>
  <r>
    <s v="HIP-100194"/>
    <s v="2025-04-22"/>
    <s v="Rancagua"/>
    <x v="12"/>
    <s v="N. Fuentes"/>
    <x v="0"/>
    <s v="Departamento usado"/>
    <n v="12275"/>
    <n v="15"/>
    <n v="4.92"/>
    <n v="80"/>
    <n v="2454.9999999999995"/>
    <n v="77.247314527168996"/>
    <n v="145"/>
    <n v="53.274010018737236"/>
    <x v="2"/>
  </r>
  <r>
    <s v="HIP-100195"/>
    <s v="2025-07-27"/>
    <s v="Chillán"/>
    <x v="11"/>
    <s v="V. Morales"/>
    <x v="1"/>
    <s v="Casa usada"/>
    <n v="12246"/>
    <n v="30"/>
    <n v="4.38"/>
    <n v="90"/>
    <n v="1224.5999999999997"/>
    <n v="55.060733636071497"/>
    <n v="170"/>
    <n v="32.388666844747938"/>
    <x v="3"/>
  </r>
  <r>
    <s v="HIP-100196"/>
    <s v="2025-02-09"/>
    <s v="Concepción"/>
    <x v="1"/>
    <s v="M. Silva"/>
    <x v="3"/>
    <s v="Departamento nuevo"/>
    <n v="17196"/>
    <n v="30"/>
    <n v="4.67"/>
    <n v="90"/>
    <n v="1719.5999999999997"/>
    <n v="79.987635090948885"/>
    <n v="289.39999999999998"/>
    <n v="27.639127536609848"/>
    <x v="0"/>
  </r>
  <r>
    <s v="HIP-100197"/>
    <s v="2025-07-15"/>
    <s v="La Serena"/>
    <x v="6"/>
    <s v="G. Herrera"/>
    <x v="0"/>
    <s v="Casa nueva"/>
    <n v="16662"/>
    <n v="20"/>
    <n v="5.73"/>
    <n v="80"/>
    <n v="3332.3999999999992"/>
    <n v="93.432794053256558"/>
    <n v="201"/>
    <n v="46.483977140923663"/>
    <x v="2"/>
  </r>
  <r>
    <s v="HIP-100198"/>
    <s v="2025-03-28"/>
    <s v="Providencia"/>
    <x v="0"/>
    <s v="V. Morales"/>
    <x v="3"/>
    <s v="Casa nueva"/>
    <n v="4561"/>
    <n v="30"/>
    <n v="4.41"/>
    <n v="80"/>
    <n v="912.19999999999982"/>
    <n v="18.293323848040068"/>
    <n v="75.8"/>
    <n v="24.133672622744154"/>
    <x v="2"/>
  </r>
  <r>
    <s v="HIP-100199"/>
    <s v="2025-11-12"/>
    <s v="Viña del Mar"/>
    <x v="2"/>
    <s v="N. Fuentes"/>
    <x v="4"/>
    <s v="Departamento usado"/>
    <n v="10321"/>
    <n v="30"/>
    <n v="4.82"/>
    <n v="80"/>
    <n v="2064.1999999999994"/>
    <n v="43.420441300658666"/>
    <n v="136.69999999999999"/>
    <n v="31.763307462076568"/>
    <x v="3"/>
  </r>
  <r>
    <s v="HIP-100200"/>
    <s v="2025-08-20"/>
    <s v="Maipú"/>
    <x v="0"/>
    <s v="S. Bravo"/>
    <x v="4"/>
    <s v="Departamento nuevo"/>
    <n v="6722"/>
    <n v="20"/>
    <n v="4.68"/>
    <n v="70"/>
    <n v="2016.6000000000004"/>
    <n v="30.227812394730876"/>
    <n v="79.2"/>
    <n v="38.166429791326863"/>
    <x v="2"/>
  </r>
  <r>
    <s v="HIP-100201"/>
    <s v="2025-04-28"/>
    <s v="Chillán"/>
    <x v="11"/>
    <s v="C. Tapia"/>
    <x v="4"/>
    <s v="Departamento usado"/>
    <n v="2471"/>
    <n v="25"/>
    <n v="5.27"/>
    <n v="80"/>
    <n v="494.19999999999987"/>
    <n v="11.86926534536876"/>
    <n v="36"/>
    <n v="32.970181514913222"/>
    <x v="3"/>
  </r>
  <r>
    <s v="HIP-100202"/>
    <s v="2025-05-25"/>
    <s v="Viña del Mar"/>
    <x v="2"/>
    <s v="N. Fuentes"/>
    <x v="2"/>
    <s v="Departamento usado"/>
    <n v="2614"/>
    <n v="25"/>
    <n v="4.3899999999999997"/>
    <n v="75"/>
    <n v="653.5"/>
    <n v="10.775051606339032"/>
    <n v="36.700000000000003"/>
    <n v="29.359813641250764"/>
    <x v="2"/>
  </r>
  <r>
    <s v="HIP-100203"/>
    <s v="2025-03-01"/>
    <s v="Valparaíso"/>
    <x v="2"/>
    <s v="V. Morales"/>
    <x v="1"/>
    <s v="Casa nueva"/>
    <n v="8809"/>
    <n v="30"/>
    <n v="4.16"/>
    <n v="70"/>
    <n v="2642.7000000000003"/>
    <n v="30.010480715102155"/>
    <n v="139.4"/>
    <n v="21.528321890317184"/>
    <x v="0"/>
  </r>
  <r>
    <s v="HIP-100204"/>
    <s v="2025-01-11"/>
    <s v="Antofagasta"/>
    <x v="7"/>
    <s v="D. Araya"/>
    <x v="0"/>
    <s v="Casa nueva"/>
    <n v="9341"/>
    <n v="25"/>
    <n v="4.79"/>
    <n v="90"/>
    <n v="934.0999999999998"/>
    <n v="48.12281413991375"/>
    <n v="136.30000000000001"/>
    <n v="35.306540087977808"/>
    <x v="1"/>
  </r>
  <r>
    <s v="HIP-100205"/>
    <s v="2025-10-03"/>
    <s v="Iquique"/>
    <x v="8"/>
    <s v="J. Cáceres"/>
    <x v="1"/>
    <s v="Casa nueva"/>
    <n v="17609"/>
    <n v="30"/>
    <n v="4.63"/>
    <n v="80"/>
    <n v="3521.7999999999993"/>
    <n v="72.470023059093549"/>
    <n v="283.3"/>
    <n v="25.580664687290344"/>
    <x v="2"/>
  </r>
  <r>
    <s v="HIP-100206"/>
    <s v="2025-08-03"/>
    <s v="La Florida"/>
    <x v="0"/>
    <s v="P. Vega"/>
    <x v="4"/>
    <s v="Departamento nuevo"/>
    <n v="6687"/>
    <n v="15"/>
    <n v="5.77"/>
    <n v="80"/>
    <n v="1337.3999999999996"/>
    <n v="44.480929877623886"/>
    <n v="105.4"/>
    <n v="42.202020756758898"/>
    <x v="2"/>
  </r>
  <r>
    <s v="HIP-100207"/>
    <s v="2025-10-07"/>
    <s v="Antofagasta"/>
    <x v="7"/>
    <s v="D. Araya"/>
    <x v="4"/>
    <s v="Departamento usado"/>
    <n v="4620"/>
    <n v="25"/>
    <n v="4.8099999999999996"/>
    <n v="90"/>
    <n v="461.99999999999989"/>
    <n v="23.84919784385465"/>
    <n v="53.4"/>
    <n v="44.661419183248405"/>
    <x v="0"/>
  </r>
  <r>
    <s v="HIP-100208"/>
    <s v="2025-05-15"/>
    <s v="Providencia"/>
    <x v="0"/>
    <s v="E. Castro"/>
    <x v="3"/>
    <s v="Casa usada"/>
    <n v="5196"/>
    <n v="20"/>
    <n v="5.74"/>
    <n v="80"/>
    <n v="1039.1999999999998"/>
    <n v="29.160481676363066"/>
    <n v="74.400000000000006"/>
    <n v="39.194195801563261"/>
    <x v="0"/>
  </r>
  <r>
    <s v="HIP-100209"/>
    <s v="2025-04-06"/>
    <s v="Maipú"/>
    <x v="0"/>
    <s v="M. Silva"/>
    <x v="4"/>
    <s v="Departamento nuevo"/>
    <n v="5655"/>
    <n v="30"/>
    <n v="5.41"/>
    <n v="80"/>
    <n v="1130.9999999999998"/>
    <n v="25.431900099081879"/>
    <n v="88.5"/>
    <n v="28.736610281448449"/>
    <x v="3"/>
  </r>
  <r>
    <s v="HIP-100210"/>
    <s v="2025-03-17"/>
    <s v="Talcahuano"/>
    <x v="1"/>
    <s v="J. Cáceres"/>
    <x v="3"/>
    <s v="Departamento nuevo"/>
    <n v="17468"/>
    <n v="30"/>
    <n v="4.29"/>
    <n v="70"/>
    <n v="5240.4000000000005"/>
    <n v="60.439122548205752"/>
    <n v="187.3"/>
    <n v="32.268618552165371"/>
    <x v="2"/>
  </r>
  <r>
    <s v="HIP-100211"/>
    <s v="2025-10-03"/>
    <s v="Antofagasta"/>
    <x v="7"/>
    <s v="V. Morales"/>
    <x v="0"/>
    <s v="Casa usada"/>
    <n v="16663"/>
    <n v="15"/>
    <n v="5.1100000000000003"/>
    <n v="85"/>
    <n v="2499.4500000000003"/>
    <n v="112.8177167079038"/>
    <n v="209.2"/>
    <n v="53.928162862286712"/>
    <x v="0"/>
  </r>
  <r>
    <s v="HIP-100212"/>
    <s v="2025-05-03"/>
    <s v="Temuco"/>
    <x v="3"/>
    <s v="S. Bravo"/>
    <x v="2"/>
    <s v="Departamento usado"/>
    <n v="8012"/>
    <n v="30"/>
    <n v="5.14"/>
    <n v="70"/>
    <n v="2403.6000000000004"/>
    <n v="30.588790028123874"/>
    <n v="85.2"/>
    <n v="35.902335713760415"/>
    <x v="2"/>
  </r>
  <r>
    <s v="HIP-100213"/>
    <s v="2025-12-23"/>
    <s v="Santiago Centro"/>
    <x v="0"/>
    <s v="G. Herrera"/>
    <x v="2"/>
    <s v="Casa usada"/>
    <n v="8025"/>
    <n v="15"/>
    <n v="4.05"/>
    <n v="85"/>
    <n v="1203.7500000000002"/>
    <n v="50.627047486951511"/>
    <n v="97.6"/>
    <n v="51.871974884171635"/>
    <x v="2"/>
  </r>
  <r>
    <s v="HIP-100214"/>
    <s v="2025-10-11"/>
    <s v="Rancagua"/>
    <x v="12"/>
    <s v="C. Tapia"/>
    <x v="0"/>
    <s v="Casa usada"/>
    <n v="7416"/>
    <n v="30"/>
    <n v="5.0599999999999996"/>
    <n v="70"/>
    <n v="2224.8000000000002"/>
    <n v="28.058152666276854"/>
    <n v="119.4"/>
    <n v="23.499290340265372"/>
    <x v="2"/>
  </r>
  <r>
    <s v="HIP-100215"/>
    <s v="2025-03-18"/>
    <s v="La Serena"/>
    <x v="6"/>
    <s v="R. Pinto"/>
    <x v="4"/>
    <s v="Departamento nuevo"/>
    <n v="13728"/>
    <n v="20"/>
    <n v="4.72"/>
    <n v="80"/>
    <n v="2745.5999999999995"/>
    <n v="70.791051605644597"/>
    <n v="199.4"/>
    <n v="35.502031898517849"/>
    <x v="2"/>
  </r>
  <r>
    <s v="HIP-100216"/>
    <s v="2025-11-02"/>
    <s v="Santiago Centro"/>
    <x v="0"/>
    <s v="B. Reyes"/>
    <x v="4"/>
    <s v="Casa nueva"/>
    <n v="6650"/>
    <n v="25"/>
    <n v="4.5199999999999996"/>
    <n v="80"/>
    <n v="1329.9999999999998"/>
    <n v="29.630713202437537"/>
    <n v="71.099999999999994"/>
    <n v="41.674702113132966"/>
    <x v="2"/>
  </r>
  <r>
    <s v="HIP-100217"/>
    <s v="2025-04-28"/>
    <s v="Viña del Mar"/>
    <x v="2"/>
    <s v="N. Fuentes"/>
    <x v="2"/>
    <s v="Casa usada"/>
    <n v="2295"/>
    <n v="30"/>
    <n v="4.22"/>
    <n v="80"/>
    <n v="458.99999999999989"/>
    <n v="8.999800245055587"/>
    <n v="27.4"/>
    <n v="32.845986295823309"/>
    <x v="2"/>
  </r>
  <r>
    <s v="HIP-100218"/>
    <s v="2025-10-17"/>
    <s v="Chillán"/>
    <x v="11"/>
    <s v="V. Morales"/>
    <x v="3"/>
    <s v="Casa usada"/>
    <n v="5392"/>
    <n v="30"/>
    <n v="4.41"/>
    <n v="70"/>
    <n v="1617.6000000000001"/>
    <n v="18.923021687141645"/>
    <n v="62.2"/>
    <n v="30.422864448780778"/>
    <x v="2"/>
  </r>
  <r>
    <s v="HIP-100219"/>
    <s v="2025-02-20"/>
    <s v="Talca"/>
    <x v="9"/>
    <s v="R. Pinto"/>
    <x v="3"/>
    <s v="Casa usada"/>
    <n v="14864"/>
    <n v="20"/>
    <n v="4.5199999999999996"/>
    <n v="90"/>
    <n v="1486.3999999999996"/>
    <n v="84.777793812426381"/>
    <n v="218"/>
    <n v="38.888896244232285"/>
    <x v="2"/>
  </r>
  <r>
    <s v="HIP-100220"/>
    <s v="2025-08-09"/>
    <s v="Temuco"/>
    <x v="3"/>
    <s v="S. Bravo"/>
    <x v="2"/>
    <s v="Departamento nuevo"/>
    <n v="2816"/>
    <n v="25"/>
    <n v="4.51"/>
    <n v="90"/>
    <n v="281.59999999999991"/>
    <n v="14.101407512599964"/>
    <n v="33.5"/>
    <n v="42.093753768955118"/>
    <x v="2"/>
  </r>
  <r>
    <s v="HIP-100221"/>
    <s v="2025-03-20"/>
    <s v="Copiapó"/>
    <x v="13"/>
    <s v="J. Cáceres"/>
    <x v="0"/>
    <s v="Casa nueva"/>
    <n v="9155"/>
    <n v="30"/>
    <n v="5.31"/>
    <n v="85"/>
    <n v="1373.2500000000002"/>
    <n v="43.260757084067528"/>
    <n v="128.4"/>
    <n v="33.692178414382809"/>
    <x v="0"/>
  </r>
  <r>
    <s v="HIP-100222"/>
    <s v="2025-01-21"/>
    <s v="Valparaíso"/>
    <x v="2"/>
    <s v="E. Castro"/>
    <x v="3"/>
    <s v="Departamento usado"/>
    <n v="7511"/>
    <n v="30"/>
    <n v="5.63"/>
    <n v="80"/>
    <n v="1502.1999999999996"/>
    <n v="34.60901301196747"/>
    <n v="135.9"/>
    <n v="25.466529074295412"/>
    <x v="3"/>
  </r>
  <r>
    <s v="HIP-100223"/>
    <s v="2025-06-24"/>
    <s v="Las Condes"/>
    <x v="0"/>
    <s v="V. Morales"/>
    <x v="1"/>
    <s v="Casa usada"/>
    <n v="14286"/>
    <n v="30"/>
    <n v="5.16"/>
    <n v="80"/>
    <n v="2857.1999999999994"/>
    <n v="62.474678246388294"/>
    <n v="239.9"/>
    <n v="26.041966755476569"/>
    <x v="2"/>
  </r>
  <r>
    <s v="HIP-100224"/>
    <s v="2025-09-26"/>
    <s v="Arica"/>
    <x v="4"/>
    <s v="E. Castro"/>
    <x v="3"/>
    <s v="Departamento nuevo"/>
    <n v="9306"/>
    <n v="30"/>
    <n v="4.3499999999999996"/>
    <n v="70"/>
    <n v="2791.8000000000006"/>
    <n v="32.428455801122908"/>
    <n v="110.7"/>
    <n v="29.293998013661167"/>
    <x v="2"/>
  </r>
  <r>
    <s v="HIP-100225"/>
    <s v="2025-09-01"/>
    <s v="Santiago Centro"/>
    <x v="0"/>
    <s v="N. Fuentes"/>
    <x v="0"/>
    <s v="Casa nueva"/>
    <n v="10373"/>
    <n v="20"/>
    <n v="4.75"/>
    <n v="75"/>
    <n v="2593.25"/>
    <n v="50.27458268192072"/>
    <n v="172.1"/>
    <n v="29.212424568228197"/>
    <x v="2"/>
  </r>
  <r>
    <s v="HIP-100226"/>
    <s v="2025-03-16"/>
    <s v="Antofagasta"/>
    <x v="7"/>
    <s v="M. Silva"/>
    <x v="2"/>
    <s v="Casa usada"/>
    <n v="8450"/>
    <n v="25"/>
    <n v="5.37"/>
    <n v="80"/>
    <n v="1689.9999999999995"/>
    <n v="40.989142562176774"/>
    <n v="133.6"/>
    <n v="30.680495929773034"/>
    <x v="2"/>
  </r>
  <r>
    <s v="HIP-100227"/>
    <s v="2025-08-06"/>
    <s v="Maipú"/>
    <x v="0"/>
    <s v="P. Vega"/>
    <x v="4"/>
    <s v="Casa nueva"/>
    <n v="6047"/>
    <n v="30"/>
    <n v="4.16"/>
    <n v="80"/>
    <n v="1209.3999999999996"/>
    <n v="23.543892043426073"/>
    <n v="65"/>
    <n v="36.221372374501648"/>
    <x v="1"/>
  </r>
  <r>
    <s v="HIP-100228"/>
    <s v="2025-02-13"/>
    <s v="La Florida"/>
    <x v="0"/>
    <s v="L. Muñoz"/>
    <x v="2"/>
    <s v="Departamento usado"/>
    <n v="8082"/>
    <n v="30"/>
    <n v="5.41"/>
    <n v="85"/>
    <n v="1212.3000000000002"/>
    <n v="38.618374029766315"/>
    <n v="86.3"/>
    <n v="44.74898497076051"/>
    <x v="3"/>
  </r>
  <r>
    <s v="HIP-100229"/>
    <s v="2025-06-18"/>
    <s v="Santiago Centro"/>
    <x v="0"/>
    <s v="F. Soto"/>
    <x v="1"/>
    <s v="Departamento nuevo"/>
    <n v="10401"/>
    <n v="25"/>
    <n v="5.36"/>
    <n v="80"/>
    <n v="2080.1999999999994"/>
    <n v="50.403658365165711"/>
    <n v="163.1"/>
    <n v="30.903530573369537"/>
    <x v="2"/>
  </r>
  <r>
    <s v="HIP-100230"/>
    <s v="2025-08-02"/>
    <s v="Puerto Montt"/>
    <x v="10"/>
    <s v="G. Herrera"/>
    <x v="0"/>
    <s v="Casa nueva"/>
    <n v="5193"/>
    <n v="15"/>
    <n v="4.75"/>
    <n v="80"/>
    <n v="1038.5999999999997"/>
    <n v="32.314249189357149"/>
    <n v="92.5"/>
    <n v="34.934323447953673"/>
    <x v="2"/>
  </r>
  <r>
    <s v="HIP-100231"/>
    <s v="2025-07-20"/>
    <s v="Maipú"/>
    <x v="0"/>
    <s v="R. Pinto"/>
    <x v="4"/>
    <s v="Departamento usado"/>
    <n v="17521"/>
    <n v="20"/>
    <n v="5.62"/>
    <n v="80"/>
    <n v="3504.1999999999994"/>
    <n v="97.372254715834899"/>
    <n v="222.4"/>
    <n v="43.78248863122073"/>
    <x v="0"/>
  </r>
  <r>
    <s v="HIP-100232"/>
    <s v="2025-09-19"/>
    <s v="Talca"/>
    <x v="9"/>
    <s v="D. Araya"/>
    <x v="1"/>
    <s v="Departamento usado"/>
    <n v="13647"/>
    <n v="30"/>
    <n v="4.72"/>
    <n v="70"/>
    <n v="4094.1000000000008"/>
    <n v="49.65985259288211"/>
    <n v="218.1"/>
    <n v="22.769304260835447"/>
    <x v="2"/>
  </r>
  <r>
    <s v="HIP-100233"/>
    <s v="2025-07-11"/>
    <s v="Valparaíso"/>
    <x v="2"/>
    <s v="R. Pinto"/>
    <x v="0"/>
    <s v="Departamento usado"/>
    <n v="17315"/>
    <n v="25"/>
    <n v="3.98"/>
    <n v="80"/>
    <n v="3462.9999999999991"/>
    <n v="72.963077020601631"/>
    <n v="211.4"/>
    <n v="34.514227540492733"/>
    <x v="0"/>
  </r>
  <r>
    <s v="HIP-100234"/>
    <s v="2025-05-24"/>
    <s v="Antofagasta"/>
    <x v="7"/>
    <s v="J. Cáceres"/>
    <x v="4"/>
    <s v="Departamento nuevo"/>
    <n v="3169"/>
    <n v="20"/>
    <n v="4.84"/>
    <n v="85"/>
    <n v="475.35000000000008"/>
    <n v="17.539677242696314"/>
    <n v="50.7"/>
    <n v="34.595024147330008"/>
    <x v="0"/>
  </r>
  <r>
    <s v="HIP-100235"/>
    <s v="2025-11-25"/>
    <s v="Temuco"/>
    <x v="3"/>
    <s v="D. Araya"/>
    <x v="3"/>
    <s v="Departamento usado"/>
    <n v="17246"/>
    <n v="25"/>
    <n v="5.2"/>
    <n v="75"/>
    <n v="4311.5"/>
    <n v="77.128619907973714"/>
    <n v="310.39999999999998"/>
    <n v="24.848137856950299"/>
    <x v="2"/>
  </r>
  <r>
    <s v="HIP-100236"/>
    <s v="2025-02-18"/>
    <s v="Rancagua"/>
    <x v="12"/>
    <s v="F. Soto"/>
    <x v="1"/>
    <s v="Casa nueva"/>
    <n v="15186"/>
    <n v="30"/>
    <n v="5.47"/>
    <n v="75"/>
    <n v="3796.5"/>
    <n v="64.454113183257917"/>
    <n v="257.7"/>
    <n v="25.011297315971255"/>
    <x v="2"/>
  </r>
  <r>
    <s v="HIP-100237"/>
    <s v="2025-05-01"/>
    <s v="Antofagasta"/>
    <x v="7"/>
    <s v="A. Rojas"/>
    <x v="2"/>
    <s v="Casa nueva"/>
    <n v="7646"/>
    <n v="20"/>
    <n v="4.0999999999999996"/>
    <n v="85"/>
    <n v="1146.9000000000001"/>
    <n v="39.726567947708091"/>
    <n v="101.7"/>
    <n v="39.062505356645119"/>
    <x v="0"/>
  </r>
  <r>
    <s v="HIP-100238"/>
    <s v="2025-12-25"/>
    <s v="Chillán"/>
    <x v="11"/>
    <s v="C. Tapia"/>
    <x v="2"/>
    <s v="Departamento nuevo"/>
    <n v="12959"/>
    <n v="30"/>
    <n v="4.28"/>
    <n v="90"/>
    <n v="1295.8999999999996"/>
    <n v="57.58046387262003"/>
    <n v="160.30000000000001"/>
    <n v="35.920439097080489"/>
    <x v="0"/>
  </r>
  <r>
    <s v="HIP-100239"/>
    <s v="2025-07-25"/>
    <s v="Concepción"/>
    <x v="1"/>
    <s v="S. Bravo"/>
    <x v="4"/>
    <s v="Departamento nuevo"/>
    <n v="2982"/>
    <n v="20"/>
    <n v="5.58"/>
    <n v="80"/>
    <n v="596.39999999999986"/>
    <n v="16.518216929245288"/>
    <n v="36.200000000000003"/>
    <n v="45.630433506202451"/>
    <x v="1"/>
  </r>
  <r>
    <s v="HIP-100240"/>
    <s v="2025-12-22"/>
    <s v="Antofagasta"/>
    <x v="7"/>
    <s v="M. Silva"/>
    <x v="4"/>
    <s v="Departamento nuevo"/>
    <n v="3338"/>
    <n v="20"/>
    <n v="5.33"/>
    <n v="75"/>
    <n v="834.5"/>
    <n v="16.981771665127493"/>
    <n v="39.700000000000003"/>
    <n v="42.775243488986128"/>
    <x v="2"/>
  </r>
  <r>
    <s v="HIP-100241"/>
    <s v="2025-03-02"/>
    <s v="Providencia"/>
    <x v="0"/>
    <s v="B. Reyes"/>
    <x v="3"/>
    <s v="Departamento usado"/>
    <n v="7929"/>
    <n v="20"/>
    <n v="4.74"/>
    <n v="80"/>
    <n v="1585.7999999999997"/>
    <n v="40.956622584100401"/>
    <n v="125.2"/>
    <n v="32.71295733554345"/>
    <x v="3"/>
  </r>
  <r>
    <s v="HIP-100242"/>
    <s v="2025-07-20"/>
    <s v="Rancagua"/>
    <x v="12"/>
    <s v="T. Núñez"/>
    <x v="4"/>
    <s v="Casa nueva"/>
    <n v="17141"/>
    <n v="25"/>
    <n v="5.15"/>
    <n v="90"/>
    <n v="1714.0999999999997"/>
    <n v="91.537459502195475"/>
    <n v="272.60000000000002"/>
    <n v="33.579405540057031"/>
    <x v="2"/>
  </r>
  <r>
    <s v="HIP-100243"/>
    <s v="2025-10-26"/>
    <s v="Valdivia"/>
    <x v="5"/>
    <s v="E. Castro"/>
    <x v="1"/>
    <s v="Departamento nuevo"/>
    <n v="17888"/>
    <n v="15"/>
    <n v="5.07"/>
    <n v="80"/>
    <n v="3577.599999999999"/>
    <n v="113.68823818180569"/>
    <n v="282"/>
    <n v="40.314978078654498"/>
    <x v="0"/>
  </r>
  <r>
    <s v="HIP-100244"/>
    <s v="2025-10-13"/>
    <s v="Temuco"/>
    <x v="3"/>
    <s v="B. Reyes"/>
    <x v="3"/>
    <s v="Casa usada"/>
    <n v="6515"/>
    <n v="30"/>
    <n v="5.12"/>
    <n v="70"/>
    <n v="1954.5000000000002"/>
    <n v="24.817300063636992"/>
    <n v="114.7"/>
    <n v="21.636704501863115"/>
    <x v="2"/>
  </r>
  <r>
    <s v="HIP-100245"/>
    <s v="2025-05-21"/>
    <s v="Valdivia"/>
    <x v="5"/>
    <s v="S. Bravo"/>
    <x v="0"/>
    <s v="Casa nueva"/>
    <n v="9701"/>
    <n v="25"/>
    <n v="4.21"/>
    <n v="90"/>
    <n v="970.0999999999998"/>
    <n v="47.103280192761382"/>
    <n v="103.1"/>
    <n v="45.686983698119676"/>
    <x v="1"/>
  </r>
  <r>
    <s v="HIP-100246"/>
    <s v="2025-05-07"/>
    <s v="Las Condes"/>
    <x v="0"/>
    <s v="S. Bravo"/>
    <x v="0"/>
    <s v="Departamento usado"/>
    <n v="17818"/>
    <n v="30"/>
    <n v="4.38"/>
    <n v="70"/>
    <n v="5345.4000000000005"/>
    <n v="62.310641692458788"/>
    <n v="191.1"/>
    <n v="32.606301251940756"/>
    <x v="2"/>
  </r>
  <r>
    <s v="HIP-100247"/>
    <s v="2025-10-14"/>
    <s v="Maipú"/>
    <x v="0"/>
    <s v="S. Bravo"/>
    <x v="1"/>
    <s v="Departamento usado"/>
    <n v="8698"/>
    <n v="20"/>
    <n v="4.92"/>
    <n v="80"/>
    <n v="1739.5999999999997"/>
    <n v="45.615400229330831"/>
    <n v="128.69999999999999"/>
    <n v="35.443201421391478"/>
    <x v="2"/>
  </r>
  <r>
    <s v="HIP-100248"/>
    <s v="2025-01-10"/>
    <s v="Copiapó"/>
    <x v="13"/>
    <s v="R. Pinto"/>
    <x v="4"/>
    <s v="Casa nueva"/>
    <n v="10214"/>
    <n v="25"/>
    <n v="5.75"/>
    <n v="90"/>
    <n v="1021.3999999999997"/>
    <n v="57.831235149105275"/>
    <n v="174.7"/>
    <n v="33.103168373843893"/>
    <x v="0"/>
  </r>
  <r>
    <s v="HIP-100249"/>
    <s v="2025-01-09"/>
    <s v="Antofagasta"/>
    <x v="7"/>
    <s v="L. Muñoz"/>
    <x v="0"/>
    <s v="Departamento usado"/>
    <n v="12938"/>
    <n v="25"/>
    <n v="4.0999999999999996"/>
    <n v="75"/>
    <n v="3234.5"/>
    <n v="51.755946859321462"/>
    <n v="138.80000000000001"/>
    <n v="37.288146152248892"/>
    <x v="3"/>
  </r>
  <r>
    <s v="HIP-100250"/>
    <s v="2025-05-19"/>
    <s v="Viña del Mar"/>
    <x v="2"/>
    <s v="E. Castro"/>
    <x v="3"/>
    <s v="Casa nueva"/>
    <n v="12419"/>
    <n v="30"/>
    <n v="5.13"/>
    <n v="80"/>
    <n v="2483.7999999999993"/>
    <n v="54.126438908253974"/>
    <n v="161.1"/>
    <n v="33.598037807730584"/>
    <x v="2"/>
  </r>
  <r>
    <s v="HIP-100251"/>
    <s v="2025-12-09"/>
    <s v="Antofagasta"/>
    <x v="7"/>
    <s v="L. Muñoz"/>
    <x v="0"/>
    <s v="Casa usada"/>
    <n v="10524"/>
    <n v="30"/>
    <n v="5.09"/>
    <n v="80"/>
    <n v="2104.7999999999997"/>
    <n v="45.6603079297333"/>
    <n v="127.1"/>
    <n v="35.924711195698897"/>
    <x v="2"/>
  </r>
  <r>
    <s v="HIP-100252"/>
    <s v="2025-11-11"/>
    <s v="Viña del Mar"/>
    <x v="2"/>
    <s v="M. Silva"/>
    <x v="1"/>
    <s v="Departamento nuevo"/>
    <n v="17579"/>
    <n v="30"/>
    <n v="4.5199999999999996"/>
    <n v="80"/>
    <n v="3515.7999999999993"/>
    <n v="71.423386655632484"/>
    <n v="242.3"/>
    <n v="29.477254088168586"/>
    <x v="2"/>
  </r>
  <r>
    <s v="HIP-100253"/>
    <s v="2025-05-07"/>
    <s v="Valparaíso"/>
    <x v="2"/>
    <s v="J. Cáceres"/>
    <x v="0"/>
    <s v="Casa nueva"/>
    <n v="14905"/>
    <n v="20"/>
    <n v="5.41"/>
    <n v="80"/>
    <n v="2980.9999999999995"/>
    <n v="81.418748151697827"/>
    <n v="163.9"/>
    <n v="49.675868304879693"/>
    <x v="1"/>
  </r>
  <r>
    <s v="HIP-100254"/>
    <s v="2025-09-04"/>
    <s v="Rancagua"/>
    <x v="12"/>
    <s v="V. Morales"/>
    <x v="4"/>
    <s v="Casa usada"/>
    <n v="2780"/>
    <n v="15"/>
    <n v="4.4000000000000004"/>
    <n v="70"/>
    <n v="834.00000000000011"/>
    <n v="14.787507096697436"/>
    <n v="48.6"/>
    <n v="30.426969334768383"/>
    <x v="2"/>
  </r>
  <r>
    <s v="HIP-100255"/>
    <s v="2025-08-17"/>
    <s v="Temuco"/>
    <x v="3"/>
    <s v="E. Castro"/>
    <x v="4"/>
    <s v="Departamento nuevo"/>
    <n v="4835"/>
    <n v="15"/>
    <n v="4.57"/>
    <n v="75"/>
    <n v="1208.75"/>
    <n v="27.870474837928395"/>
    <n v="53.9"/>
    <n v="51.707745524913541"/>
    <x v="0"/>
  </r>
  <r>
    <s v="HIP-100256"/>
    <s v="2025-08-10"/>
    <s v="La Serena"/>
    <x v="6"/>
    <s v="M. Silva"/>
    <x v="0"/>
    <s v="Departamento usado"/>
    <n v="10453"/>
    <n v="15"/>
    <n v="5.22"/>
    <n v="70"/>
    <n v="3135.9000000000005"/>
    <n v="58.705180155376013"/>
    <n v="139"/>
    <n v="42.23394255782447"/>
    <x v="2"/>
  </r>
  <r>
    <s v="HIP-100257"/>
    <s v="2025-03-02"/>
    <s v="Valparaíso"/>
    <x v="2"/>
    <s v="E. Castro"/>
    <x v="0"/>
    <s v="Casa usada"/>
    <n v="2487"/>
    <n v="20"/>
    <n v="5.41"/>
    <n v="80"/>
    <n v="497.39999999999986"/>
    <n v="13.585268477240689"/>
    <n v="27.6"/>
    <n v="49.221987236379306"/>
    <x v="2"/>
  </r>
  <r>
    <s v="HIP-100258"/>
    <s v="2025-04-16"/>
    <s v="La Florida"/>
    <x v="0"/>
    <s v="F. Soto"/>
    <x v="4"/>
    <s v="Casa usada"/>
    <n v="16028"/>
    <n v="25"/>
    <n v="5.25"/>
    <n v="90"/>
    <n v="1602.7999999999997"/>
    <n v="86.442681408886884"/>
    <n v="198.2"/>
    <n v="43.61386549388844"/>
    <x v="2"/>
  </r>
  <r>
    <s v="HIP-100259"/>
    <s v="2025-06-28"/>
    <s v="Talcahuano"/>
    <x v="1"/>
    <s v="N. Fuentes"/>
    <x v="3"/>
    <s v="Casa usada"/>
    <n v="16967"/>
    <n v="15"/>
    <n v="4.66"/>
    <n v="80"/>
    <n v="3393.3999999999992"/>
    <n v="104.95050467368736"/>
    <n v="220"/>
    <n v="47.704774851676071"/>
    <x v="2"/>
  </r>
  <r>
    <s v="HIP-100260"/>
    <s v="2025-04-15"/>
    <s v="Valparaíso"/>
    <x v="2"/>
    <s v="M. Silva"/>
    <x v="4"/>
    <s v="Casa nueva"/>
    <n v="2027"/>
    <n v="15"/>
    <n v="5.61"/>
    <n v="70"/>
    <n v="608.10000000000014"/>
    <n v="11.676586753843431"/>
    <n v="32.5"/>
    <n v="35.927959242595172"/>
    <x v="3"/>
  </r>
  <r>
    <s v="HIP-100261"/>
    <s v="2025-07-04"/>
    <s v="Rancagua"/>
    <x v="12"/>
    <s v="R. Pinto"/>
    <x v="3"/>
    <s v="Casa nueva"/>
    <n v="12184"/>
    <n v="20"/>
    <n v="5.64"/>
    <n v="85"/>
    <n v="1827.6000000000004"/>
    <n v="72.061740019677586"/>
    <n v="141.80000000000001"/>
    <n v="50.81928069088687"/>
    <x v="2"/>
  </r>
  <r>
    <s v="HIP-100262"/>
    <s v="2025-03-11"/>
    <s v="Valdivia"/>
    <x v="5"/>
    <s v="B. Reyes"/>
    <x v="1"/>
    <s v="Departamento usado"/>
    <n v="12594"/>
    <n v="30"/>
    <n v="3.99"/>
    <n v="80"/>
    <n v="2518.7999999999993"/>
    <n v="48.04247918344953"/>
    <n v="176.5"/>
    <n v="27.219534948130047"/>
    <x v="3"/>
  </r>
  <r>
    <s v="HIP-100263"/>
    <s v="2025-03-14"/>
    <s v="Providencia"/>
    <x v="0"/>
    <s v="P. Vega"/>
    <x v="2"/>
    <s v="Casa usada"/>
    <n v="5631"/>
    <n v="15"/>
    <n v="4.28"/>
    <n v="85"/>
    <n v="844.65000000000009"/>
    <n v="36.079393384226634"/>
    <n v="73"/>
    <n v="49.423826553735118"/>
    <x v="2"/>
  </r>
  <r>
    <s v="HIP-100264"/>
    <s v="2025-11-28"/>
    <s v="Rancagua"/>
    <x v="12"/>
    <s v="R. Pinto"/>
    <x v="3"/>
    <s v="Casa nueva"/>
    <n v="4917"/>
    <n v="30"/>
    <n v="5.65"/>
    <n v="90"/>
    <n v="491.69999999999987"/>
    <n v="25.544415397649388"/>
    <n v="60.9"/>
    <n v="41.944852869703432"/>
    <x v="2"/>
  </r>
  <r>
    <s v="HIP-100265"/>
    <s v="2025-02-13"/>
    <s v="Iquique"/>
    <x v="8"/>
    <s v="M. Silva"/>
    <x v="3"/>
    <s v="Casa usada"/>
    <n v="15609"/>
    <n v="20"/>
    <n v="4.92"/>
    <n v="70"/>
    <n v="4682.7000000000007"/>
    <n v="71.626745735476177"/>
    <n v="276.3"/>
    <n v="25.923541706650806"/>
    <x v="2"/>
  </r>
  <r>
    <s v="HIP-100266"/>
    <s v="2025-05-24"/>
    <s v="Arica"/>
    <x v="4"/>
    <s v="R. Pinto"/>
    <x v="0"/>
    <s v="Casa usada"/>
    <n v="17966"/>
    <n v="20"/>
    <n v="4.2"/>
    <n v="70"/>
    <n v="5389.8000000000011"/>
    <n v="77.541168827633058"/>
    <n v="199.5"/>
    <n v="38.867753798312307"/>
    <x v="2"/>
  </r>
  <r>
    <s v="HIP-100267"/>
    <s v="2025-06-16"/>
    <s v="Concepción"/>
    <x v="1"/>
    <s v="V. Morales"/>
    <x v="4"/>
    <s v="Casa usada"/>
    <n v="3213"/>
    <n v="30"/>
    <n v="4.9400000000000004"/>
    <n v="90"/>
    <n v="321.29999999999995"/>
    <n v="15.417407190326806"/>
    <n v="49.6"/>
    <n v="31.083482238562109"/>
    <x v="0"/>
  </r>
  <r>
    <s v="HIP-100268"/>
    <s v="2025-10-19"/>
    <s v="Arica"/>
    <x v="4"/>
    <s v="V. Morales"/>
    <x v="4"/>
    <s v="Casa nueva"/>
    <n v="17536"/>
    <n v="30"/>
    <n v="5.23"/>
    <n v="75"/>
    <n v="4384"/>
    <n v="72.462995201289118"/>
    <n v="307.10000000000002"/>
    <n v="23.595895539332176"/>
    <x v="1"/>
  </r>
  <r>
    <s v="HIP-100269"/>
    <s v="2025-02-21"/>
    <s v="La Florida"/>
    <x v="0"/>
    <s v="V. Morales"/>
    <x v="1"/>
    <s v="Casa nueva"/>
    <n v="14350"/>
    <n v="25"/>
    <n v="4.87"/>
    <n v="85"/>
    <n v="2152.5000000000005"/>
    <n v="70.384573692564302"/>
    <n v="236.8"/>
    <n v="29.723215241792357"/>
    <x v="2"/>
  </r>
  <r>
    <s v="HIP-100270"/>
    <s v="2025-02-23"/>
    <s v="Las Condes"/>
    <x v="0"/>
    <s v="C. Tapia"/>
    <x v="2"/>
    <s v="Departamento usado"/>
    <n v="9107"/>
    <n v="15"/>
    <n v="5.56"/>
    <n v="90"/>
    <n v="910.69999999999982"/>
    <n v="67.231859683690615"/>
    <n v="96.6"/>
    <n v="69.59819843032156"/>
    <x v="2"/>
  </r>
  <r>
    <s v="HIP-100271"/>
    <s v="2025-12-04"/>
    <s v="Maipú"/>
    <x v="0"/>
    <s v="C. Tapia"/>
    <x v="4"/>
    <s v="Departamento nuevo"/>
    <n v="6182"/>
    <n v="20"/>
    <n v="4.95"/>
    <n v="85"/>
    <n v="927.30000000000018"/>
    <n v="34.533718222396331"/>
    <n v="68.5"/>
    <n v="50.41418718598004"/>
    <x v="1"/>
  </r>
  <r>
    <s v="HIP-100272"/>
    <s v="2025-01-17"/>
    <s v="Iquique"/>
    <x v="8"/>
    <s v="D. Araya"/>
    <x v="3"/>
    <s v="Departamento nuevo"/>
    <n v="15081"/>
    <n v="25"/>
    <n v="4.92"/>
    <n v="85"/>
    <n v="2262.1500000000005"/>
    <n v="74.34144904388215"/>
    <n v="164.7"/>
    <n v="45.137491829922375"/>
    <x v="2"/>
  </r>
  <r>
    <s v="HIP-100273"/>
    <s v="2025-05-20"/>
    <s v="Arica"/>
    <x v="4"/>
    <s v="N. Fuentes"/>
    <x v="1"/>
    <s v="Casa nueva"/>
    <n v="11261"/>
    <n v="25"/>
    <n v="3.95"/>
    <n v="90"/>
    <n v="1126.0999999999997"/>
    <n v="53.216331336944492"/>
    <n v="171.9"/>
    <n v="30.957726199502321"/>
    <x v="2"/>
  </r>
  <r>
    <s v="HIP-100274"/>
    <s v="2025-05-28"/>
    <s v="Las Condes"/>
    <x v="0"/>
    <s v="R. Pinto"/>
    <x v="1"/>
    <s v="Departamento nuevo"/>
    <n v="13406"/>
    <n v="25"/>
    <n v="4.0199999999999996"/>
    <n v="80"/>
    <n v="2681.1999999999994"/>
    <n v="56.727947464556799"/>
    <n v="239.8"/>
    <n v="23.656358408906087"/>
    <x v="1"/>
  </r>
  <r>
    <s v="HIP-100275"/>
    <s v="2025-02-19"/>
    <s v="Las Condes"/>
    <x v="0"/>
    <s v="N. Fuentes"/>
    <x v="1"/>
    <s v="Departamento usado"/>
    <n v="6705"/>
    <n v="15"/>
    <n v="3.98"/>
    <n v="85"/>
    <n v="1005.7500000000001"/>
    <n v="42.099566357827307"/>
    <n v="100.4"/>
    <n v="41.931839001820023"/>
    <x v="2"/>
  </r>
  <r>
    <s v="HIP-100276"/>
    <s v="2025-04-10"/>
    <s v="Santiago Centro"/>
    <x v="0"/>
    <s v="B. Reyes"/>
    <x v="1"/>
    <s v="Departamento usado"/>
    <n v="7802"/>
    <n v="15"/>
    <n v="4.59"/>
    <n v="80"/>
    <n v="1560.3999999999996"/>
    <n v="48.035414361183868"/>
    <n v="99.8"/>
    <n v="48.131677716617105"/>
    <x v="2"/>
  </r>
  <r>
    <s v="HIP-100277"/>
    <s v="2025-04-08"/>
    <s v="Antofagasta"/>
    <x v="7"/>
    <s v="P. Vega"/>
    <x v="4"/>
    <s v="Departamento nuevo"/>
    <n v="7738"/>
    <n v="30"/>
    <n v="5.34"/>
    <n v="70"/>
    <n v="2321.4000000000005"/>
    <n v="30.213320341640802"/>
    <n v="134.80000000000001"/>
    <n v="22.413442389941245"/>
    <x v="2"/>
  </r>
  <r>
    <s v="HIP-100278"/>
    <s v="2025-08-11"/>
    <s v="Valdivia"/>
    <x v="5"/>
    <s v="P. Vega"/>
    <x v="3"/>
    <s v="Casa nueva"/>
    <n v="9728"/>
    <n v="15"/>
    <n v="5.34"/>
    <n v="90"/>
    <n v="972.79999999999973"/>
    <n v="70.796106183054576"/>
    <n v="175.3"/>
    <n v="40.385685215661475"/>
    <x v="1"/>
  </r>
  <r>
    <s v="HIP-100279"/>
    <s v="2025-08-20"/>
    <s v="Valparaíso"/>
    <x v="2"/>
    <s v="F. Soto"/>
    <x v="1"/>
    <s v="Casa nueva"/>
    <n v="3089"/>
    <n v="20"/>
    <n v="5.61"/>
    <n v="70"/>
    <n v="926.70000000000016"/>
    <n v="15.008846026144523"/>
    <n v="36.299999999999997"/>
    <n v="41.346683267615767"/>
    <x v="2"/>
  </r>
  <r>
    <s v="HIP-100280"/>
    <s v="2025-12-11"/>
    <s v="Temuco"/>
    <x v="3"/>
    <s v="R. Pinto"/>
    <x v="0"/>
    <s v="Departamento nuevo"/>
    <n v="10803"/>
    <n v="30"/>
    <n v="4.01"/>
    <n v="80"/>
    <n v="2160.5999999999995"/>
    <n v="41.309979566160024"/>
    <n v="178.1"/>
    <n v="23.194822889477837"/>
    <x v="2"/>
  </r>
  <r>
    <s v="HIP-100281"/>
    <s v="2025-02-07"/>
    <s v="Valparaíso"/>
    <x v="2"/>
    <s v="N. Fuentes"/>
    <x v="0"/>
    <s v="Casa nueva"/>
    <n v="1583"/>
    <n v="30"/>
    <n v="5.27"/>
    <n v="80"/>
    <n v="316.59999999999991"/>
    <n v="7.0088035301467766"/>
    <n v="24.1"/>
    <n v="29.08217232426048"/>
    <x v="2"/>
  </r>
  <r>
    <s v="HIP-100282"/>
    <s v="2025-02-17"/>
    <s v="Valdivia"/>
    <x v="5"/>
    <s v="P. Vega"/>
    <x v="4"/>
    <s v="Departamento nuevo"/>
    <n v="11937"/>
    <n v="25"/>
    <n v="3.97"/>
    <n v="80"/>
    <n v="2387.3999999999996"/>
    <n v="50.248255881307117"/>
    <n v="133.6"/>
    <n v="37.610969971038259"/>
    <x v="2"/>
  </r>
  <r>
    <s v="HIP-100283"/>
    <s v="2025-05-20"/>
    <s v="Viña del Mar"/>
    <x v="2"/>
    <s v="S. Bravo"/>
    <x v="4"/>
    <s v="Departamento nuevo"/>
    <n v="16217"/>
    <n v="30"/>
    <n v="4.6900000000000004"/>
    <n v="85"/>
    <n v="2432.5500000000002"/>
    <n v="71.408541048739806"/>
    <n v="195.2"/>
    <n v="36.582244389723265"/>
    <x v="2"/>
  </r>
  <r>
    <s v="HIP-100284"/>
    <s v="2025-10-09"/>
    <s v="Puerto Montt"/>
    <x v="10"/>
    <s v="B. Reyes"/>
    <x v="4"/>
    <s v="Departamento nuevo"/>
    <n v="5513"/>
    <n v="20"/>
    <n v="4.1100000000000003"/>
    <n v="70"/>
    <n v="1653.9000000000003"/>
    <n v="23.609674943464658"/>
    <n v="73.599999999999994"/>
    <n v="32.078362694924813"/>
    <x v="2"/>
  </r>
  <r>
    <s v="HIP-100285"/>
    <s v="2025-08-11"/>
    <s v="Antofagasta"/>
    <x v="7"/>
    <s v="J. Cáceres"/>
    <x v="2"/>
    <s v="Casa nueva"/>
    <n v="11383"/>
    <n v="15"/>
    <n v="5.47"/>
    <n v="80"/>
    <n v="2276.5999999999995"/>
    <n v="74.261996960833471"/>
    <n v="175.4"/>
    <n v="42.338652771284764"/>
    <x v="2"/>
  </r>
  <r>
    <s v="HIP-100286"/>
    <s v="2025-05-19"/>
    <s v="La Serena"/>
    <x v="6"/>
    <s v="B. Reyes"/>
    <x v="3"/>
    <s v="Departamento nuevo"/>
    <n v="3990"/>
    <n v="25"/>
    <n v="5.79"/>
    <n v="70"/>
    <n v="1197.0000000000002"/>
    <n v="17.638516967328751"/>
    <n v="53.5"/>
    <n v="32.969190593137853"/>
    <x v="2"/>
  </r>
  <r>
    <s v="HIP-100287"/>
    <s v="2025-05-09"/>
    <s v="Arica"/>
    <x v="4"/>
    <s v="G. Herrera"/>
    <x v="1"/>
    <s v="Departamento nuevo"/>
    <n v="3528"/>
    <n v="30"/>
    <n v="4.3099999999999996"/>
    <n v="70"/>
    <n v="1058.4000000000001"/>
    <n v="12.235850748915075"/>
    <n v="51.4"/>
    <n v="23.805157099056569"/>
    <x v="2"/>
  </r>
  <r>
    <s v="HIP-100288"/>
    <s v="2025-01-07"/>
    <s v="Providencia"/>
    <x v="0"/>
    <s v="V. Morales"/>
    <x v="2"/>
    <s v="Casa nueva"/>
    <n v="9268"/>
    <n v="15"/>
    <n v="4.21"/>
    <n v="80"/>
    <n v="1853.5999999999997"/>
    <n v="55.626948095635434"/>
    <n v="114.5"/>
    <n v="48.582487419768938"/>
    <x v="3"/>
  </r>
  <r>
    <s v="HIP-100289"/>
    <s v="2025-01-08"/>
    <s v="Copiapó"/>
    <x v="13"/>
    <s v="T. Núñez"/>
    <x v="4"/>
    <s v="Casa usada"/>
    <n v="6240"/>
    <n v="20"/>
    <n v="4.45"/>
    <n v="90"/>
    <n v="623.99999999999989"/>
    <n v="35.37819422191825"/>
    <n v="102.3"/>
    <n v="34.58279005075098"/>
    <x v="1"/>
  </r>
  <r>
    <s v="HIP-100290"/>
    <s v="2025-03-04"/>
    <s v="Puerto Montt"/>
    <x v="10"/>
    <s v="T. Núñez"/>
    <x v="3"/>
    <s v="Casa nueva"/>
    <n v="7665"/>
    <n v="25"/>
    <n v="5.4"/>
    <n v="85"/>
    <n v="1149.7500000000002"/>
    <n v="39.621184443938027"/>
    <n v="89.8"/>
    <n v="44.121586240465511"/>
    <x v="0"/>
  </r>
  <r>
    <s v="HIP-100291"/>
    <s v="2025-06-01"/>
    <s v="Rancagua"/>
    <x v="12"/>
    <s v="T. Núñez"/>
    <x v="2"/>
    <s v="Casa usada"/>
    <n v="8230"/>
    <n v="15"/>
    <n v="5.32"/>
    <n v="70"/>
    <n v="2469.0000000000005"/>
    <n v="46.523709735980042"/>
    <n v="128.80000000000001"/>
    <n v="36.120892652158417"/>
    <x v="3"/>
  </r>
  <r>
    <s v="HIP-100292"/>
    <s v="2025-04-17"/>
    <s v="La Serena"/>
    <x v="6"/>
    <s v="J. Cáceres"/>
    <x v="4"/>
    <s v="Departamento nuevo"/>
    <n v="10597"/>
    <n v="20"/>
    <n v="4.8"/>
    <n v="80"/>
    <n v="2119.3999999999996"/>
    <n v="55.016018463620178"/>
    <n v="139.80000000000001"/>
    <n v="39.353375152804134"/>
    <x v="2"/>
  </r>
  <r>
    <s v="HIP-100293"/>
    <s v="2025-08-11"/>
    <s v="La Florida"/>
    <x v="0"/>
    <s v="T. Núñez"/>
    <x v="2"/>
    <s v="Departamento usado"/>
    <n v="2193"/>
    <n v="30"/>
    <n v="4.29"/>
    <n v="90"/>
    <n v="219.29999999999995"/>
    <n v="9.7556917280082516"/>
    <n v="33.700000000000003"/>
    <n v="28.948640142457716"/>
    <x v="2"/>
  </r>
  <r>
    <s v="HIP-100294"/>
    <s v="2025-04-16"/>
    <s v="Viña del Mar"/>
    <x v="2"/>
    <s v="E. Castro"/>
    <x v="3"/>
    <s v="Departamento usado"/>
    <n v="15649"/>
    <n v="15"/>
    <n v="4.3499999999999996"/>
    <n v="80"/>
    <n v="3129.7999999999993"/>
    <n v="94.814094891146127"/>
    <n v="204.6"/>
    <n v="46.341199849045026"/>
    <x v="2"/>
  </r>
  <r>
    <s v="HIP-100295"/>
    <s v="2025-05-06"/>
    <s v="Las Condes"/>
    <x v="0"/>
    <s v="F. Soto"/>
    <x v="2"/>
    <s v="Casa nueva"/>
    <n v="10523"/>
    <n v="20"/>
    <n v="4.83"/>
    <n v="80"/>
    <n v="2104.5999999999995"/>
    <n v="54.77017783395393"/>
    <n v="153.6"/>
    <n v="35.657667860647088"/>
    <x v="2"/>
  </r>
  <r>
    <s v="HIP-100296"/>
    <s v="2025-06-07"/>
    <s v="Chillán"/>
    <x v="11"/>
    <s v="F. Soto"/>
    <x v="0"/>
    <s v="Departamento nuevo"/>
    <n v="11130"/>
    <n v="25"/>
    <n v="5.76"/>
    <n v="75"/>
    <n v="2782.5"/>
    <n v="52.56511253393861"/>
    <n v="121"/>
    <n v="43.442241763585628"/>
    <x v="2"/>
  </r>
  <r>
    <s v="HIP-100297"/>
    <s v="2025-10-25"/>
    <s v="Rancagua"/>
    <x v="12"/>
    <s v="A. Rojas"/>
    <x v="3"/>
    <s v="Casa nueva"/>
    <n v="2365"/>
    <n v="20"/>
    <n v="4.09"/>
    <n v="70"/>
    <n v="709.50000000000011"/>
    <n v="10.110688330117116"/>
    <n v="32.5"/>
    <n v="31.109810246514201"/>
    <x v="2"/>
  </r>
  <r>
    <s v="HIP-100298"/>
    <s v="2025-08-28"/>
    <s v="Puerto Montt"/>
    <x v="10"/>
    <s v="N. Fuentes"/>
    <x v="2"/>
    <s v="Casa usada"/>
    <n v="2871"/>
    <n v="25"/>
    <n v="5.79"/>
    <n v="70"/>
    <n v="861.30000000000018"/>
    <n v="12.691774990777155"/>
    <n v="43.6"/>
    <n v="29.10957566692008"/>
    <x v="3"/>
  </r>
  <r>
    <s v="HIP-100299"/>
    <s v="2025-04-09"/>
    <s v="Maipú"/>
    <x v="0"/>
    <s v="T. Núñez"/>
    <x v="3"/>
    <s v="Departamento nuevo"/>
    <n v="13158"/>
    <n v="25"/>
    <n v="4.54"/>
    <n v="80"/>
    <n v="2631.5999999999995"/>
    <n v="58.748399091356447"/>
    <n v="153.19999999999999"/>
    <n v="38.347518989136063"/>
    <x v="2"/>
  </r>
  <r>
    <s v="HIP-100300"/>
    <s v="2025-06-11"/>
    <s v="Las Condes"/>
    <x v="0"/>
    <s v="R. Pinto"/>
    <x v="2"/>
    <s v="Departamento nuevo"/>
    <n v="15633"/>
    <n v="25"/>
    <n v="4.6900000000000004"/>
    <n v="85"/>
    <n v="2344.9500000000003"/>
    <n v="75.299626612907133"/>
    <n v="257.3"/>
    <n v="29.265303774934758"/>
    <x v="3"/>
  </r>
  <r>
    <s v="HIP-100301"/>
    <s v="2025-07-22"/>
    <s v="Maipú"/>
    <x v="0"/>
    <s v="V. Morales"/>
    <x v="3"/>
    <s v="Departamento nuevo"/>
    <n v="10139"/>
    <n v="25"/>
    <n v="5.28"/>
    <n v="80"/>
    <n v="2027.7999999999995"/>
    <n v="48.749847547262966"/>
    <n v="120.5"/>
    <n v="40.45630501847549"/>
    <x v="2"/>
  </r>
  <r>
    <s v="HIP-100302"/>
    <s v="2025-02-07"/>
    <s v="Puerto Montt"/>
    <x v="10"/>
    <s v="G. Herrera"/>
    <x v="2"/>
    <s v="Casa usada"/>
    <n v="13521"/>
    <n v="20"/>
    <n v="4.97"/>
    <n v="75"/>
    <n v="3380.25"/>
    <n v="66.756516828709152"/>
    <n v="191.7"/>
    <n v="34.823430792232216"/>
    <x v="2"/>
  </r>
  <r>
    <s v="HIP-100303"/>
    <s v="2025-12-24"/>
    <s v="Rancagua"/>
    <x v="12"/>
    <s v="S. Bravo"/>
    <x v="4"/>
    <s v="Casa nueva"/>
    <n v="2336"/>
    <n v="20"/>
    <n v="4.12"/>
    <n v="75"/>
    <n v="584"/>
    <n v="10.727884335589959"/>
    <n v="28.9"/>
    <n v="37.120707043563868"/>
    <x v="3"/>
  </r>
  <r>
    <s v="HIP-100304"/>
    <s v="2025-09-12"/>
    <s v="Temuco"/>
    <x v="3"/>
    <s v="C. Tapia"/>
    <x v="3"/>
    <s v="Departamento usado"/>
    <n v="15393"/>
    <n v="25"/>
    <n v="4.13"/>
    <n v="80"/>
    <n v="3078.5999999999995"/>
    <n v="65.887118241267956"/>
    <n v="199.8"/>
    <n v="32.976535656290267"/>
    <x v="2"/>
  </r>
  <r>
    <s v="HIP-100305"/>
    <s v="2025-07-22"/>
    <s v="Santiago Centro"/>
    <x v="0"/>
    <s v="V. Morales"/>
    <x v="2"/>
    <s v="Casa nueva"/>
    <n v="11675"/>
    <n v="15"/>
    <n v="5.37"/>
    <n v="70"/>
    <n v="3502.5000000000005"/>
    <n v="66.213704041161137"/>
    <n v="208.4"/>
    <n v="31.772410768311488"/>
    <x v="2"/>
  </r>
  <r>
    <s v="HIP-100306"/>
    <s v="2025-10-01"/>
    <s v="Talcahuano"/>
    <x v="1"/>
    <s v="A. Rojas"/>
    <x v="1"/>
    <s v="Departamento usado"/>
    <n v="6877"/>
    <n v="15"/>
    <n v="4.4000000000000004"/>
    <n v="75"/>
    <n v="1719.25"/>
    <n v="39.193352892081812"/>
    <n v="87"/>
    <n v="45.049830910438864"/>
    <x v="2"/>
  </r>
  <r>
    <s v="HIP-100307"/>
    <s v="2025-02-01"/>
    <s v="Temuco"/>
    <x v="3"/>
    <s v="G. Herrera"/>
    <x v="0"/>
    <s v="Casa nueva"/>
    <n v="6612"/>
    <n v="20"/>
    <n v="4.83"/>
    <n v="80"/>
    <n v="1322.3999999999996"/>
    <n v="34.414179971310787"/>
    <n v="99"/>
    <n v="34.76179795081898"/>
    <x v="2"/>
  </r>
  <r>
    <s v="HIP-100308"/>
    <s v="2025-02-19"/>
    <s v="Iquique"/>
    <x v="8"/>
    <s v="N. Fuentes"/>
    <x v="4"/>
    <s v="Departamento nuevo"/>
    <n v="8060"/>
    <n v="30"/>
    <n v="5.36"/>
    <n v="90"/>
    <n v="805.99999999999977"/>
    <n v="40.552505601980315"/>
    <n v="125.8"/>
    <n v="32.235696027011379"/>
    <x v="1"/>
  </r>
  <r>
    <s v="HIP-100309"/>
    <s v="2025-12-23"/>
    <s v="Concepción"/>
    <x v="1"/>
    <s v="F. Soto"/>
    <x v="1"/>
    <s v="Departamento nuevo"/>
    <n v="6807"/>
    <n v="15"/>
    <n v="4.1900000000000004"/>
    <n v="80"/>
    <n v="1361.3999999999996"/>
    <n v="40.800903499859622"/>
    <n v="101.6"/>
    <n v="40.158369586476006"/>
    <x v="2"/>
  </r>
  <r>
    <s v="HIP-100310"/>
    <s v="2025-08-21"/>
    <s v="Maipú"/>
    <x v="0"/>
    <s v="A. Rojas"/>
    <x v="2"/>
    <s v="Casa nueva"/>
    <n v="7595"/>
    <n v="20"/>
    <n v="4.54"/>
    <n v="80"/>
    <n v="1518.9999999999998"/>
    <n v="38.571091227592731"/>
    <n v="124.1"/>
    <n v="31.080653688632339"/>
    <x v="2"/>
  </r>
  <r>
    <s v="HIP-100311"/>
    <s v="2025-11-02"/>
    <s v="Viña del Mar"/>
    <x v="2"/>
    <s v="L. Muñoz"/>
    <x v="2"/>
    <s v="Departamento usado"/>
    <n v="10299"/>
    <n v="25"/>
    <n v="5.0999999999999996"/>
    <n v="70"/>
    <n v="3089.7000000000003"/>
    <n v="42.565947253336439"/>
    <n v="121.4"/>
    <n v="35.062559516751598"/>
    <x v="1"/>
  </r>
  <r>
    <s v="HIP-100312"/>
    <s v="2025-11-27"/>
    <s v="Maipú"/>
    <x v="0"/>
    <s v="N. Fuentes"/>
    <x v="2"/>
    <s v="Departamento usado"/>
    <n v="17488"/>
    <n v="25"/>
    <n v="5.08"/>
    <n v="85"/>
    <n v="2623.2000000000003"/>
    <n v="87.59239576300358"/>
    <n v="212.7"/>
    <n v="41.181192178186919"/>
    <x v="3"/>
  </r>
  <r>
    <s v="HIP-100313"/>
    <s v="2025-01-06"/>
    <s v="Talcahuano"/>
    <x v="1"/>
    <s v="N. Fuentes"/>
    <x v="4"/>
    <s v="Departamento usado"/>
    <n v="3356"/>
    <n v="30"/>
    <n v="5.26"/>
    <n v="80"/>
    <n v="671.19999999999982"/>
    <n v="14.842198429372354"/>
    <n v="35.5"/>
    <n v="41.809009660203813"/>
    <x v="2"/>
  </r>
  <r>
    <s v="HIP-100314"/>
    <s v="2025-09-28"/>
    <s v="Talca"/>
    <x v="9"/>
    <s v="N. Fuentes"/>
    <x v="2"/>
    <s v="Departamento usado"/>
    <n v="11139"/>
    <n v="30"/>
    <n v="3.95"/>
    <n v="70"/>
    <n v="3341.7000000000003"/>
    <n v="37.00109189390917"/>
    <n v="119.6"/>
    <n v="30.937367804271883"/>
    <x v="2"/>
  </r>
  <r>
    <s v="HIP-100315"/>
    <s v="2025-08-19"/>
    <s v="Copiapó"/>
    <x v="13"/>
    <s v="G. Herrera"/>
    <x v="2"/>
    <s v="Casa nueva"/>
    <n v="2171"/>
    <n v="30"/>
    <n v="4.58"/>
    <n v="80"/>
    <n v="434.19999999999993"/>
    <n v="8.8828600747878905"/>
    <n v="31.9"/>
    <n v="27.845956347297463"/>
    <x v="1"/>
  </r>
  <r>
    <s v="HIP-100316"/>
    <s v="2025-05-22"/>
    <s v="Valdivia"/>
    <x v="5"/>
    <s v="J. Cáceres"/>
    <x v="4"/>
    <s v="Casa nueva"/>
    <n v="10809"/>
    <n v="25"/>
    <n v="4.28"/>
    <n v="80"/>
    <n v="2161.7999999999997"/>
    <n v="46.990551994357759"/>
    <n v="142.4"/>
    <n v="32.998983142105168"/>
    <x v="2"/>
  </r>
  <r>
    <s v="HIP-100317"/>
    <s v="2025-09-11"/>
    <s v="Puerto Montt"/>
    <x v="10"/>
    <s v="G. Herrera"/>
    <x v="3"/>
    <s v="Casa nueva"/>
    <n v="15292"/>
    <n v="25"/>
    <n v="4.67"/>
    <n v="75"/>
    <n v="3823"/>
    <n v="64.860135048996412"/>
    <n v="232.4"/>
    <n v="27.908836079602583"/>
    <x v="3"/>
  </r>
  <r>
    <s v="HIP-100318"/>
    <s v="2025-05-02"/>
    <s v="Santiago Centro"/>
    <x v="0"/>
    <s v="F. Soto"/>
    <x v="1"/>
    <s v="Departamento nuevo"/>
    <n v="16403"/>
    <n v="25"/>
    <n v="4.68"/>
    <n v="70"/>
    <n v="4920.9000000000005"/>
    <n v="65.000001126481877"/>
    <n v="174"/>
    <n v="37.35632248648384"/>
    <x v="2"/>
  </r>
  <r>
    <s v="HIP-100319"/>
    <s v="2025-06-25"/>
    <s v="Providencia"/>
    <x v="0"/>
    <s v="M. Silva"/>
    <x v="4"/>
    <s v="Departamento nuevo"/>
    <n v="5517"/>
    <n v="25"/>
    <n v="5.73"/>
    <n v="85"/>
    <n v="827.55000000000007"/>
    <n v="29.444980054132515"/>
    <n v="67.3"/>
    <n v="43.751827717878925"/>
    <x v="2"/>
  </r>
  <r>
    <s v="HIP-100320"/>
    <s v="2025-08-02"/>
    <s v="Viña del Mar"/>
    <x v="2"/>
    <s v="F. Soto"/>
    <x v="4"/>
    <s v="Casa usada"/>
    <n v="5885"/>
    <n v="15"/>
    <n v="5.07"/>
    <n v="75"/>
    <n v="1471.25"/>
    <n v="35.06481029705283"/>
    <n v="69.599999999999994"/>
    <n v="50.380474564731081"/>
    <x v="0"/>
  </r>
  <r>
    <s v="HIP-100321"/>
    <s v="2025-10-05"/>
    <s v="Providencia"/>
    <x v="0"/>
    <s v="G. Herrera"/>
    <x v="4"/>
    <s v="Casa usada"/>
    <n v="16618"/>
    <n v="20"/>
    <n v="5.39"/>
    <n v="90"/>
    <n v="1661.7999999999997"/>
    <n v="101.95482550131308"/>
    <n v="204.2"/>
    <n v="49.928905730319826"/>
    <x v="3"/>
  </r>
  <r>
    <s v="HIP-100322"/>
    <s v="2025-01-08"/>
    <s v="Iquique"/>
    <x v="8"/>
    <s v="V. Morales"/>
    <x v="4"/>
    <s v="Departamento nuevo"/>
    <n v="3653"/>
    <n v="25"/>
    <n v="3.97"/>
    <n v="80"/>
    <n v="730.5999999999998"/>
    <n v="15.377136527973102"/>
    <n v="40.9"/>
    <n v="37.5969108263401"/>
    <x v="2"/>
  </r>
  <r>
    <s v="HIP-100323"/>
    <s v="2025-09-03"/>
    <s v="Santiago Centro"/>
    <x v="0"/>
    <s v="L. Muñoz"/>
    <x v="0"/>
    <s v="Departamento nuevo"/>
    <n v="16775"/>
    <n v="25"/>
    <n v="4.33"/>
    <n v="90"/>
    <n v="1677.4999999999995"/>
    <n v="82.466683741701829"/>
    <n v="270.7"/>
    <n v="30.464234851016563"/>
    <x v="2"/>
  </r>
  <r>
    <s v="HIP-100324"/>
    <s v="2025-02-04"/>
    <s v="Arica"/>
    <x v="4"/>
    <s v="S. Bravo"/>
    <x v="3"/>
    <s v="Casa nueva"/>
    <n v="9749"/>
    <n v="15"/>
    <n v="5.34"/>
    <n v="80"/>
    <n v="1949.7999999999995"/>
    <n v="63.065719954184843"/>
    <n v="171.2"/>
    <n v="36.837453244266847"/>
    <x v="0"/>
  </r>
  <r>
    <s v="HIP-100325"/>
    <s v="2025-11-16"/>
    <s v="Talcahuano"/>
    <x v="1"/>
    <s v="S. Bravo"/>
    <x v="1"/>
    <s v="Departamento usado"/>
    <n v="12448"/>
    <n v="25"/>
    <n v="4.28"/>
    <n v="80"/>
    <n v="2489.5999999999995"/>
    <n v="54.115865595870602"/>
    <n v="158.19999999999999"/>
    <n v="34.207247532155883"/>
    <x v="2"/>
  </r>
  <r>
    <s v="HIP-100326"/>
    <s v="2025-04-09"/>
    <s v="Copiapó"/>
    <x v="13"/>
    <s v="B. Reyes"/>
    <x v="3"/>
    <s v="Casa usada"/>
    <n v="1921"/>
    <n v="15"/>
    <n v="5.57"/>
    <n v="80"/>
    <n v="384.19999999999993"/>
    <n v="12.614096798775998"/>
    <n v="33.299999999999997"/>
    <n v="37.880170566894897"/>
    <x v="2"/>
  </r>
  <r>
    <s v="HIP-100327"/>
    <s v="2025-10-06"/>
    <s v="La Serena"/>
    <x v="6"/>
    <s v="E. Castro"/>
    <x v="0"/>
    <s v="Departamento nuevo"/>
    <n v="8453"/>
    <n v="15"/>
    <n v="4.22"/>
    <n v="90"/>
    <n v="845.29999999999984"/>
    <n v="57.115642514262014"/>
    <n v="138.9"/>
    <n v="41.11997301242765"/>
    <x v="2"/>
  </r>
  <r>
    <s v="HIP-100328"/>
    <s v="2025-03-16"/>
    <s v="Talca"/>
    <x v="9"/>
    <s v="N. Fuentes"/>
    <x v="1"/>
    <s v="Casa nueva"/>
    <n v="2906"/>
    <n v="25"/>
    <n v="5.22"/>
    <n v="90"/>
    <n v="290.59999999999991"/>
    <n v="15.626468944496944"/>
    <n v="30.9"/>
    <n v="50.571096907757109"/>
    <x v="2"/>
  </r>
  <r>
    <s v="HIP-100329"/>
    <s v="2025-06-04"/>
    <s v="Talca"/>
    <x v="9"/>
    <s v="C. Tapia"/>
    <x v="3"/>
    <s v="Casa usada"/>
    <n v="11574"/>
    <n v="20"/>
    <n v="5.27"/>
    <n v="80"/>
    <n v="2314.7999999999993"/>
    <n v="62.496076483078596"/>
    <n v="201.9"/>
    <n v="30.953975474531248"/>
    <x v="0"/>
  </r>
  <r>
    <s v="HIP-100330"/>
    <s v="2025-07-06"/>
    <s v="Concepción"/>
    <x v="1"/>
    <s v="V. Morales"/>
    <x v="1"/>
    <s v="Departamento nuevo"/>
    <n v="15353"/>
    <n v="30"/>
    <n v="5.72"/>
    <n v="80"/>
    <n v="3070.5999999999995"/>
    <n v="71.442847709926696"/>
    <n v="175.6"/>
    <n v="40.684993001097212"/>
    <x v="2"/>
  </r>
  <r>
    <s v="HIP-100331"/>
    <s v="2025-12-23"/>
    <s v="Chillán"/>
    <x v="11"/>
    <s v="L. Muñoz"/>
    <x v="4"/>
    <s v="Casa nueva"/>
    <n v="13616"/>
    <n v="15"/>
    <n v="5.13"/>
    <n v="90"/>
    <n v="1361.5999999999997"/>
    <n v="97.738903966281441"/>
    <n v="166.7"/>
    <n v="58.631616056557554"/>
    <x v="2"/>
  </r>
  <r>
    <s v="HIP-100332"/>
    <s v="2025-04-06"/>
    <s v="Viña del Mar"/>
    <x v="2"/>
    <s v="N. Fuentes"/>
    <x v="2"/>
    <s v="Departamento nuevo"/>
    <n v="16035"/>
    <n v="20"/>
    <n v="5.79"/>
    <n v="80"/>
    <n v="3206.9999999999991"/>
    <n v="90.356454074796758"/>
    <n v="245.3"/>
    <n v="36.835081155644822"/>
    <x v="2"/>
  </r>
  <r>
    <s v="HIP-100333"/>
    <s v="2025-06-08"/>
    <s v="La Florida"/>
    <x v="0"/>
    <s v="N. Fuentes"/>
    <x v="1"/>
    <s v="Casa usada"/>
    <n v="1625"/>
    <n v="30"/>
    <n v="4.47"/>
    <n v="70"/>
    <n v="487.50000000000006"/>
    <n v="5.7432868481873962"/>
    <n v="26.8"/>
    <n v="21.430174806669388"/>
    <x v="2"/>
  </r>
  <r>
    <s v="HIP-100334"/>
    <s v="2025-12-03"/>
    <s v="Viña del Mar"/>
    <x v="2"/>
    <s v="L. Muñoz"/>
    <x v="2"/>
    <s v="Departamento nuevo"/>
    <n v="6744"/>
    <n v="25"/>
    <n v="4.55"/>
    <n v="90"/>
    <n v="674.39999999999986"/>
    <n v="33.90929527907943"/>
    <n v="83.2"/>
    <n v="40.756364518124315"/>
    <x v="2"/>
  </r>
  <r>
    <s v="HIP-100335"/>
    <s v="2025-09-08"/>
    <s v="Viña del Mar"/>
    <x v="2"/>
    <s v="F. Soto"/>
    <x v="4"/>
    <s v="Departamento usado"/>
    <n v="6454"/>
    <n v="25"/>
    <n v="4.6100000000000003"/>
    <n v="90"/>
    <n v="645.39999999999986"/>
    <n v="32.649821956722953"/>
    <n v="110.7"/>
    <n v="29.493967440580803"/>
    <x v="2"/>
  </r>
  <r>
    <s v="HIP-100336"/>
    <s v="2025-03-28"/>
    <s v="La Florida"/>
    <x v="0"/>
    <s v="N. Fuentes"/>
    <x v="0"/>
    <s v="Departamento nuevo"/>
    <n v="11192"/>
    <n v="15"/>
    <n v="4.7699999999999996"/>
    <n v="85"/>
    <n v="1678.8000000000002"/>
    <n v="74.094921839053782"/>
    <n v="176.4"/>
    <n v="42.003923945041826"/>
    <x v="3"/>
  </r>
  <r>
    <s v="HIP-100337"/>
    <s v="2025-03-08"/>
    <s v="Antofagasta"/>
    <x v="7"/>
    <s v="V. Morales"/>
    <x v="0"/>
    <s v="Casa nueva"/>
    <n v="13976"/>
    <n v="20"/>
    <n v="4.99"/>
    <n v="90"/>
    <n v="1397.5999999999997"/>
    <n v="82.942402678097338"/>
    <n v="182.1"/>
    <n v="45.547722503073771"/>
    <x v="2"/>
  </r>
  <r>
    <s v="HIP-100338"/>
    <s v="2025-10-02"/>
    <s v="Puerto Montt"/>
    <x v="10"/>
    <s v="A. Rojas"/>
    <x v="0"/>
    <s v="Departamento nuevo"/>
    <n v="7384"/>
    <n v="20"/>
    <n v="4.3099999999999996"/>
    <n v="85"/>
    <n v="1107.6000000000001"/>
    <n v="39.066788853918318"/>
    <n v="114.5"/>
    <n v="34.119466247963601"/>
    <x v="2"/>
  </r>
  <r>
    <s v="HIP-100339"/>
    <s v="2025-07-10"/>
    <s v="Maipú"/>
    <x v="0"/>
    <s v="R. Pinto"/>
    <x v="2"/>
    <s v="Casa nueva"/>
    <n v="13288"/>
    <n v="20"/>
    <n v="3.92"/>
    <n v="80"/>
    <n v="2657.5999999999995"/>
    <n v="63.970896366102941"/>
    <n v="189.9"/>
    <n v="33.686622625646621"/>
    <x v="3"/>
  </r>
  <r>
    <s v="HIP-100340"/>
    <s v="2025-07-02"/>
    <s v="Talcahuano"/>
    <x v="1"/>
    <s v="N. Fuentes"/>
    <x v="2"/>
    <s v="Departamento usado"/>
    <n v="16189"/>
    <n v="15"/>
    <n v="4.8099999999999996"/>
    <n v="80"/>
    <n v="3237.7999999999993"/>
    <n v="101.14000416977585"/>
    <n v="246.9"/>
    <n v="40.963954706268062"/>
    <x v="2"/>
  </r>
  <r>
    <s v="HIP-100341"/>
    <s v="2025-05-13"/>
    <s v="Copiapó"/>
    <x v="13"/>
    <s v="J. Cáceres"/>
    <x v="1"/>
    <s v="Departamento usado"/>
    <n v="7595"/>
    <n v="20"/>
    <n v="4.6900000000000004"/>
    <n v="70"/>
    <n v="2278.5000000000005"/>
    <n v="34.182508714713336"/>
    <n v="91.2"/>
    <n v="37.480820959115498"/>
    <x v="1"/>
  </r>
  <r>
    <s v="HIP-100342"/>
    <s v="2025-02-26"/>
    <s v="Concepción"/>
    <x v="1"/>
    <s v="V. Morales"/>
    <x v="4"/>
    <s v="Casa nueva"/>
    <n v="13890"/>
    <n v="20"/>
    <n v="5"/>
    <n v="70"/>
    <n v="4167.0000000000009"/>
    <n v="64.167496524035599"/>
    <n v="150.30000000000001"/>
    <n v="42.692945125772184"/>
    <x v="2"/>
  </r>
  <r>
    <s v="HIP-100343"/>
    <s v="2025-01-06"/>
    <s v="Talca"/>
    <x v="9"/>
    <s v="D. Araya"/>
    <x v="1"/>
    <s v="Casa usada"/>
    <n v="4990"/>
    <n v="15"/>
    <n v="4.1100000000000003"/>
    <n v="80"/>
    <n v="997.99999999999977"/>
    <n v="29.748877981823327"/>
    <n v="72.2"/>
    <n v="41.203432107788544"/>
    <x v="1"/>
  </r>
  <r>
    <s v="HIP-100344"/>
    <s v="2025-10-22"/>
    <s v="Arica"/>
    <x v="4"/>
    <s v="G. Herrera"/>
    <x v="4"/>
    <s v="Casa nueva"/>
    <n v="10392"/>
    <n v="25"/>
    <n v="4.46"/>
    <n v="75"/>
    <n v="2598"/>
    <n v="43.144817642154798"/>
    <n v="162.80000000000001"/>
    <n v="26.501730738424321"/>
    <x v="2"/>
  </r>
  <r>
    <s v="HIP-100345"/>
    <s v="2025-03-19"/>
    <s v="Valparaíso"/>
    <x v="2"/>
    <s v="V. Morales"/>
    <x v="0"/>
    <s v="Departamento nuevo"/>
    <n v="5755"/>
    <n v="25"/>
    <n v="4.54"/>
    <n v="75"/>
    <n v="1438.75"/>
    <n v="24.08922115614714"/>
    <n v="77.400000000000006"/>
    <n v="31.123024749544104"/>
    <x v="2"/>
  </r>
  <r>
    <s v="HIP-100346"/>
    <s v="2025-07-05"/>
    <s v="Santiago Centro"/>
    <x v="0"/>
    <s v="R. Pinto"/>
    <x v="1"/>
    <s v="Casa nueva"/>
    <n v="4887"/>
    <n v="30"/>
    <n v="5.48"/>
    <n v="80"/>
    <n v="977.39999999999975"/>
    <n v="22.149244862579216"/>
    <n v="82.8"/>
    <n v="26.750295727752675"/>
    <x v="2"/>
  </r>
  <r>
    <s v="HIP-100347"/>
    <s v="2025-01-03"/>
    <s v="La Serena"/>
    <x v="6"/>
    <s v="G. Herrera"/>
    <x v="4"/>
    <s v="Casa usada"/>
    <n v="12321"/>
    <n v="25"/>
    <n v="5.12"/>
    <n v="75"/>
    <n v="3080.25"/>
    <n v="54.668537002616688"/>
    <n v="131.9"/>
    <n v="41.446957545577476"/>
    <x v="0"/>
  </r>
  <r>
    <s v="HIP-100348"/>
    <s v="2025-12-10"/>
    <s v="Rancagua"/>
    <x v="12"/>
    <s v="D. Araya"/>
    <x v="0"/>
    <s v="Casa nueva"/>
    <n v="9271"/>
    <n v="25"/>
    <n v="5.28"/>
    <n v="85"/>
    <n v="1390.6500000000003"/>
    <n v="47.362395344594354"/>
    <n v="159.80000000000001"/>
    <n v="29.638545271961419"/>
    <x v="2"/>
  </r>
  <r>
    <s v="HIP-100349"/>
    <s v="2025-08-28"/>
    <s v="Santiago Centro"/>
    <x v="0"/>
    <s v="S. Bravo"/>
    <x v="4"/>
    <s v="Departamento nuevo"/>
    <n v="3541"/>
    <n v="25"/>
    <n v="4.57"/>
    <n v="80"/>
    <n v="708.19999999999982"/>
    <n v="15.858387111987259"/>
    <n v="58.8"/>
    <n v="26.970046108821872"/>
    <x v="2"/>
  </r>
  <r>
    <s v="HIP-100350"/>
    <s v="2025-07-22"/>
    <s v="Iquique"/>
    <x v="8"/>
    <s v="P. Vega"/>
    <x v="4"/>
    <s v="Departamento usado"/>
    <n v="8739"/>
    <n v="30"/>
    <n v="4.34"/>
    <n v="80"/>
    <n v="1747.7999999999995"/>
    <n v="34.761855783810027"/>
    <n v="116.1"/>
    <n v="29.941305584677025"/>
    <x v="2"/>
  </r>
  <r>
    <s v="HIP-100351"/>
    <s v="2025-12-07"/>
    <s v="Viña del Mar"/>
    <x v="2"/>
    <s v="T. Núñez"/>
    <x v="0"/>
    <s v="Casa usada"/>
    <n v="7259"/>
    <n v="30"/>
    <n v="5.27"/>
    <n v="85"/>
    <n v="1088.8500000000001"/>
    <n v="34.148269979102281"/>
    <n v="94.8"/>
    <n v="36.021381834496083"/>
    <x v="2"/>
  </r>
  <r>
    <s v="HIP-100352"/>
    <s v="2025-05-10"/>
    <s v="La Serena"/>
    <x v="6"/>
    <s v="R. Pinto"/>
    <x v="4"/>
    <s v="Departamento nuevo"/>
    <n v="6126"/>
    <n v="20"/>
    <n v="4.29"/>
    <n v="75"/>
    <n v="1531.5"/>
    <n v="28.548848645274489"/>
    <n v="78.400000000000006"/>
    <n v="36.414347761829703"/>
    <x v="2"/>
  </r>
  <r>
    <s v="HIP-100353"/>
    <s v="2025-01-09"/>
    <s v="Concepción"/>
    <x v="1"/>
    <s v="S. Bravo"/>
    <x v="0"/>
    <s v="Departamento nuevo"/>
    <n v="15600"/>
    <n v="30"/>
    <n v="5.36"/>
    <n v="75"/>
    <n v="3900"/>
    <n v="65.407267099968252"/>
    <n v="164.8"/>
    <n v="39.688875667456458"/>
    <x v="0"/>
  </r>
  <r>
    <s v="HIP-100354"/>
    <s v="2025-01-16"/>
    <s v="Viña del Mar"/>
    <x v="2"/>
    <s v="J. Cáceres"/>
    <x v="1"/>
    <s v="Casa nueva"/>
    <n v="2549"/>
    <n v="20"/>
    <n v="4.6399999999999997"/>
    <n v="75"/>
    <n v="637.25"/>
    <n v="12.239624163393952"/>
    <n v="34.200000000000003"/>
    <n v="35.788374746765939"/>
    <x v="2"/>
  </r>
  <r>
    <s v="HIP-100355"/>
    <s v="2025-07-25"/>
    <s v="Temuco"/>
    <x v="3"/>
    <s v="J. Cáceres"/>
    <x v="1"/>
    <s v="Departamento usado"/>
    <n v="8380"/>
    <n v="20"/>
    <n v="4.0599999999999996"/>
    <n v="80"/>
    <n v="1675.9999999999995"/>
    <n v="40.837187201751981"/>
    <n v="97.1"/>
    <n v="42.056835429198749"/>
    <x v="3"/>
  </r>
  <r>
    <s v="HIP-100356"/>
    <s v="2025-06-10"/>
    <s v="Valparaíso"/>
    <x v="2"/>
    <s v="P. Vega"/>
    <x v="0"/>
    <s v="Casa usada"/>
    <n v="8700"/>
    <n v="15"/>
    <n v="4.8899999999999997"/>
    <n v="80"/>
    <n v="1739.9999999999995"/>
    <n v="54.641244742748896"/>
    <n v="140.69999999999999"/>
    <n v="38.835284109985004"/>
    <x v="1"/>
  </r>
  <r>
    <s v="HIP-100357"/>
    <s v="2025-08-16"/>
    <s v="Temuco"/>
    <x v="3"/>
    <s v="L. Muñoz"/>
    <x v="1"/>
    <s v="Casa usada"/>
    <n v="12046"/>
    <n v="30"/>
    <n v="5.3"/>
    <n v="80"/>
    <n v="2409.1999999999994"/>
    <n v="53.513598742245769"/>
    <n v="128.5"/>
    <n v="41.644823923926666"/>
    <x v="2"/>
  </r>
  <r>
    <s v="HIP-100358"/>
    <s v="2025-01-06"/>
    <s v="Maipú"/>
    <x v="0"/>
    <s v="S. Bravo"/>
    <x v="3"/>
    <s v="Departamento nuevo"/>
    <n v="17489"/>
    <n v="30"/>
    <n v="4.92"/>
    <n v="80"/>
    <n v="3497.7999999999993"/>
    <n v="74.425212848409473"/>
    <n v="229.9"/>
    <n v="32.372863352940179"/>
    <x v="2"/>
  </r>
  <r>
    <s v="HIP-100359"/>
    <s v="2025-09-18"/>
    <s v="Santiago Centro"/>
    <x v="0"/>
    <s v="R. Pinto"/>
    <x v="3"/>
    <s v="Casa usada"/>
    <n v="3970"/>
    <n v="20"/>
    <n v="5.4"/>
    <n v="80"/>
    <n v="793.99999999999977"/>
    <n v="21.668310508282524"/>
    <n v="44.4"/>
    <n v="48.802501144780457"/>
    <x v="1"/>
  </r>
  <r>
    <s v="HIP-100360"/>
    <s v="2025-10-04"/>
    <s v="Temuco"/>
    <x v="3"/>
    <s v="N. Fuentes"/>
    <x v="2"/>
    <s v="Departamento usado"/>
    <n v="12479"/>
    <n v="20"/>
    <n v="4.53"/>
    <n v="80"/>
    <n v="2495.7999999999993"/>
    <n v="63.320432828179918"/>
    <n v="197.9"/>
    <n v="31.996176264871107"/>
    <x v="2"/>
  </r>
  <r>
    <s v="HIP-100361"/>
    <s v="2025-04-03"/>
    <s v="Talca"/>
    <x v="9"/>
    <s v="N. Fuentes"/>
    <x v="0"/>
    <s v="Departamento nuevo"/>
    <n v="13904"/>
    <n v="25"/>
    <n v="5.4"/>
    <n v="85"/>
    <n v="2085.6000000000004"/>
    <n v="71.871226158971197"/>
    <n v="169.7"/>
    <n v="42.351930559205186"/>
    <x v="2"/>
  </r>
  <r>
    <s v="HIP-100362"/>
    <s v="2025-10-03"/>
    <s v="Talcahuano"/>
    <x v="1"/>
    <s v="G. Herrera"/>
    <x v="2"/>
    <s v="Casa nueva"/>
    <n v="13387"/>
    <n v="15"/>
    <n v="5.73"/>
    <n v="70"/>
    <n v="4016.1000000000008"/>
    <n v="77.716577629256932"/>
    <n v="142.80000000000001"/>
    <n v="54.423373689955831"/>
    <x v="2"/>
  </r>
  <r>
    <s v="HIP-100363"/>
    <s v="2025-11-16"/>
    <s v="Iquique"/>
    <x v="8"/>
    <s v="S. Bravo"/>
    <x v="1"/>
    <s v="Casa nueva"/>
    <n v="9155"/>
    <n v="25"/>
    <n v="5.24"/>
    <n v="90"/>
    <n v="915.49999999999977"/>
    <n v="49.326417038640933"/>
    <n v="136.30000000000001"/>
    <n v="36.189594305679329"/>
    <x v="3"/>
  </r>
  <r>
    <s v="HIP-100364"/>
    <s v="2025-10-08"/>
    <s v="Talcahuano"/>
    <x v="1"/>
    <s v="A. Rojas"/>
    <x v="3"/>
    <s v="Departamento nuevo"/>
    <n v="17826"/>
    <n v="20"/>
    <n v="4.5999999999999996"/>
    <n v="90"/>
    <n v="1782.5999999999997"/>
    <n v="102.36652402060193"/>
    <n v="248.9"/>
    <n v="41.127570920290047"/>
    <x v="0"/>
  </r>
  <r>
    <s v="HIP-100365"/>
    <s v="2025-04-15"/>
    <s v="Valparaíso"/>
    <x v="2"/>
    <s v="R. Pinto"/>
    <x v="2"/>
    <s v="Departamento nuevo"/>
    <n v="14949"/>
    <n v="20"/>
    <n v="5.67"/>
    <n v="70"/>
    <n v="4484.7000000000007"/>
    <n v="72.991022154949789"/>
    <n v="247.2"/>
    <n v="29.527112522228883"/>
    <x v="2"/>
  </r>
  <r>
    <s v="HIP-100366"/>
    <s v="2025-09-07"/>
    <s v="Antofagasta"/>
    <x v="7"/>
    <s v="L. Muñoz"/>
    <x v="0"/>
    <s v="Departamento nuevo"/>
    <n v="3408"/>
    <n v="30"/>
    <n v="4.51"/>
    <n v="80"/>
    <n v="681.5999999999998"/>
    <n v="13.830472665140553"/>
    <n v="37.700000000000003"/>
    <n v="36.68560388631446"/>
    <x v="3"/>
  </r>
  <r>
    <s v="HIP-100367"/>
    <s v="2025-11-13"/>
    <s v="Talcahuano"/>
    <x v="1"/>
    <s v="E. Castro"/>
    <x v="2"/>
    <s v="Casa usada"/>
    <n v="16622"/>
    <n v="25"/>
    <n v="4.9800000000000004"/>
    <n v="80"/>
    <n v="3324.3999999999992"/>
    <n v="77.581573547524187"/>
    <n v="266.60000000000002"/>
    <n v="29.100365171614474"/>
    <x v="2"/>
  </r>
  <r>
    <s v="HIP-100368"/>
    <s v="2025-09-07"/>
    <s v="Concepción"/>
    <x v="1"/>
    <s v="L. Muñoz"/>
    <x v="4"/>
    <s v="Departamento usado"/>
    <n v="4319"/>
    <n v="30"/>
    <n v="5.73"/>
    <n v="70"/>
    <n v="1295.7000000000003"/>
    <n v="17.604765160585764"/>
    <n v="48.3"/>
    <n v="36.44878915235148"/>
    <x v="2"/>
  </r>
  <r>
    <s v="HIP-100369"/>
    <s v="2025-01-22"/>
    <s v="Las Condes"/>
    <x v="0"/>
    <s v="M. Silva"/>
    <x v="3"/>
    <s v="Departamento usado"/>
    <n v="10709"/>
    <n v="15"/>
    <n v="4.51"/>
    <n v="80"/>
    <n v="2141.7999999999997"/>
    <n v="65.582298295522207"/>
    <n v="141"/>
    <n v="46.512268294696604"/>
    <x v="2"/>
  </r>
  <r>
    <s v="HIP-100370"/>
    <s v="2025-02-27"/>
    <s v="Viña del Mar"/>
    <x v="2"/>
    <s v="L. Muñoz"/>
    <x v="1"/>
    <s v="Casa usada"/>
    <n v="9222"/>
    <n v="25"/>
    <n v="4.59"/>
    <n v="90"/>
    <n v="922.19999999999982"/>
    <n v="46.557996108034096"/>
    <n v="124.8"/>
    <n v="37.306086625027326"/>
    <x v="0"/>
  </r>
  <r>
    <s v="HIP-100371"/>
    <s v="2025-01-26"/>
    <s v="Providencia"/>
    <x v="0"/>
    <s v="T. Núñez"/>
    <x v="1"/>
    <s v="Casa nueva"/>
    <n v="12349"/>
    <n v="15"/>
    <n v="5.41"/>
    <n v="80"/>
    <n v="2469.7999999999993"/>
    <n v="80.250265118775033"/>
    <n v="185.2"/>
    <n v="43.331676630008118"/>
    <x v="2"/>
  </r>
  <r>
    <s v="HIP-100372"/>
    <s v="2025-11-28"/>
    <s v="La Serena"/>
    <x v="6"/>
    <s v="S. Bravo"/>
    <x v="1"/>
    <s v="Departamento nuevo"/>
    <n v="1707"/>
    <n v="25"/>
    <n v="4.03"/>
    <n v="80"/>
    <n v="341.39999999999992"/>
    <n v="7.2307797758781769"/>
    <n v="23.2"/>
    <n v="31.167154206371457"/>
    <x v="2"/>
  </r>
  <r>
    <s v="HIP-100373"/>
    <s v="2025-01-14"/>
    <s v="Talcahuano"/>
    <x v="1"/>
    <s v="N. Fuentes"/>
    <x v="0"/>
    <s v="Departamento usado"/>
    <n v="5410"/>
    <n v="15"/>
    <n v="4.34"/>
    <n v="80"/>
    <n v="1081.9999999999998"/>
    <n v="32.756098818422615"/>
    <n v="64.5"/>
    <n v="50.784649330887774"/>
    <x v="1"/>
  </r>
  <r>
    <s v="HIP-100374"/>
    <s v="2025-09-03"/>
    <s v="Valparaíso"/>
    <x v="2"/>
    <s v="M. Silva"/>
    <x v="1"/>
    <s v="Departamento nuevo"/>
    <n v="10975"/>
    <n v="30"/>
    <n v="4.05"/>
    <n v="80"/>
    <n v="2194.9999999999995"/>
    <n v="42.170546437487921"/>
    <n v="188.9"/>
    <n v="22.324270215716211"/>
    <x v="2"/>
  </r>
  <r>
    <s v="HIP-100375"/>
    <s v="2025-04-14"/>
    <s v="Providencia"/>
    <x v="0"/>
    <s v="A. Rojas"/>
    <x v="3"/>
    <s v="Departamento nuevo"/>
    <n v="11508"/>
    <n v="20"/>
    <n v="4.16"/>
    <n v="80"/>
    <n v="2301.5999999999995"/>
    <n v="56.568207962143866"/>
    <n v="163.19999999999999"/>
    <n v="34.661892133666591"/>
    <x v="2"/>
  </r>
  <r>
    <s v="HIP-100376"/>
    <s v="2025-09-22"/>
    <s v="Las Condes"/>
    <x v="0"/>
    <s v="S. Bravo"/>
    <x v="2"/>
    <s v="Departamento usado"/>
    <n v="7992"/>
    <n v="30"/>
    <n v="5.58"/>
    <n v="75"/>
    <n v="1998"/>
    <n v="34.334738353005775"/>
    <n v="88.4"/>
    <n v="38.84020175679386"/>
    <x v="1"/>
  </r>
  <r>
    <s v="HIP-100377"/>
    <s v="2025-09-28"/>
    <s v="Iquique"/>
    <x v="8"/>
    <s v="C. Tapia"/>
    <x v="0"/>
    <s v="Departamento usado"/>
    <n v="1504"/>
    <n v="25"/>
    <n v="4.5"/>
    <n v="85"/>
    <n v="225.60000000000002"/>
    <n v="7.1057623982660676"/>
    <n v="24.7"/>
    <n v="28.768268818890963"/>
    <x v="2"/>
  </r>
  <r>
    <s v="HIP-100378"/>
    <s v="2025-05-17"/>
    <s v="La Florida"/>
    <x v="0"/>
    <s v="L. Muñoz"/>
    <x v="3"/>
    <s v="Departamento nuevo"/>
    <n v="17197"/>
    <n v="30"/>
    <n v="4.78"/>
    <n v="75"/>
    <n v="4299.25"/>
    <n v="67.514192058531975"/>
    <n v="257.3"/>
    <n v="26.239483893716276"/>
    <x v="2"/>
  </r>
  <r>
    <s v="HIP-100379"/>
    <s v="2025-06-25"/>
    <s v="Maipú"/>
    <x v="0"/>
    <s v="S. Bravo"/>
    <x v="2"/>
    <s v="Departamento usado"/>
    <n v="9961"/>
    <n v="20"/>
    <n v="4.74"/>
    <n v="85"/>
    <n v="1494.1500000000003"/>
    <n v="54.668555291680931"/>
    <n v="160.30000000000001"/>
    <n v="34.103902240599453"/>
    <x v="2"/>
  </r>
  <r>
    <s v="HIP-100380"/>
    <s v="2025-06-08"/>
    <s v="Las Condes"/>
    <x v="0"/>
    <s v="D. Araya"/>
    <x v="4"/>
    <s v="Casa usada"/>
    <n v="9462"/>
    <n v="30"/>
    <n v="4.4000000000000004"/>
    <n v="85"/>
    <n v="1419.3000000000002"/>
    <n v="40.274697724611677"/>
    <n v="171.6"/>
    <n v="23.470103569121026"/>
    <x v="2"/>
  </r>
  <r>
    <s v="HIP-100381"/>
    <s v="2025-05-21"/>
    <s v="Copiapó"/>
    <x v="13"/>
    <s v="E. Castro"/>
    <x v="2"/>
    <s v="Casa nueva"/>
    <n v="13115"/>
    <n v="30"/>
    <n v="4.84"/>
    <n v="70"/>
    <n v="3934.5000000000005"/>
    <n v="48.389117211904114"/>
    <n v="223.6"/>
    <n v="21.640928985645846"/>
    <x v="2"/>
  </r>
  <r>
    <s v="HIP-100382"/>
    <s v="2025-06-25"/>
    <s v="Providencia"/>
    <x v="0"/>
    <s v="B. Reyes"/>
    <x v="1"/>
    <s v="Departamento nuevo"/>
    <n v="15946"/>
    <n v="15"/>
    <n v="4.8499999999999996"/>
    <n v="70"/>
    <n v="4783.8000000000011"/>
    <n v="87.400234764502187"/>
    <n v="236.5"/>
    <n v="36.955701803172168"/>
    <x v="3"/>
  </r>
  <r>
    <s v="HIP-100383"/>
    <s v="2025-12-22"/>
    <s v="Antofagasta"/>
    <x v="7"/>
    <s v="S. Bravo"/>
    <x v="0"/>
    <s v="Casa nueva"/>
    <n v="14928"/>
    <n v="20"/>
    <n v="4.3899999999999997"/>
    <n v="80"/>
    <n v="2985.5999999999995"/>
    <n v="74.846257225055567"/>
    <n v="242.5"/>
    <n v="30.864435969095076"/>
    <x v="2"/>
  </r>
  <r>
    <s v="HIP-100384"/>
    <s v="2025-10-26"/>
    <s v="Talca"/>
    <x v="9"/>
    <s v="R. Pinto"/>
    <x v="2"/>
    <s v="Casa nueva"/>
    <n v="8374"/>
    <n v="20"/>
    <n v="5.32"/>
    <n v="70"/>
    <n v="2512.2000000000003"/>
    <n v="39.728977942843322"/>
    <n v="97.8"/>
    <n v="40.622676833173131"/>
    <x v="3"/>
  </r>
  <r>
    <s v="HIP-100385"/>
    <s v="2025-09-21"/>
    <s v="Temuco"/>
    <x v="3"/>
    <s v="F. Soto"/>
    <x v="0"/>
    <s v="Casa usada"/>
    <n v="10475"/>
    <n v="30"/>
    <n v="5.66"/>
    <n v="90"/>
    <n v="1047.4999999999998"/>
    <n v="54.478514382676721"/>
    <n v="144.30000000000001"/>
    <n v="37.753648220843182"/>
    <x v="1"/>
  </r>
  <r>
    <s v="HIP-100386"/>
    <s v="2025-05-27"/>
    <s v="Chillán"/>
    <x v="11"/>
    <s v="L. Muñoz"/>
    <x v="4"/>
    <s v="Casa nueva"/>
    <n v="14239"/>
    <n v="30"/>
    <n v="4.7300000000000004"/>
    <n v="80"/>
    <n v="2847.7999999999993"/>
    <n v="59.284646607867465"/>
    <n v="219.5"/>
    <n v="27.008950618618432"/>
    <x v="2"/>
  </r>
  <r>
    <s v="HIP-100387"/>
    <s v="2025-11-04"/>
    <s v="Antofagasta"/>
    <x v="7"/>
    <s v="N. Fuentes"/>
    <x v="2"/>
    <s v="Departamento nuevo"/>
    <n v="9593"/>
    <n v="25"/>
    <n v="4.01"/>
    <n v="85"/>
    <n v="1438.9500000000003"/>
    <n v="43.085115577521826"/>
    <n v="121.3"/>
    <n v="35.519468736621455"/>
    <x v="2"/>
  </r>
  <r>
    <s v="HIP-100388"/>
    <s v="2025-08-28"/>
    <s v="Iquique"/>
    <x v="8"/>
    <s v="E. Castro"/>
    <x v="2"/>
    <s v="Casa nueva"/>
    <n v="7278"/>
    <n v="25"/>
    <n v="5.09"/>
    <n v="80"/>
    <n v="1455.5999999999997"/>
    <n v="34.3431726544923"/>
    <n v="87.9"/>
    <n v="39.070731120013988"/>
    <x v="2"/>
  </r>
  <r>
    <s v="HIP-100389"/>
    <s v="2025-08-17"/>
    <s v="Iquique"/>
    <x v="8"/>
    <s v="P. Vega"/>
    <x v="2"/>
    <s v="Casa usada"/>
    <n v="3922"/>
    <n v="30"/>
    <n v="5.3"/>
    <n v="80"/>
    <n v="784.39999999999986"/>
    <n v="17.423238773625098"/>
    <n v="43.4"/>
    <n v="40.145711459965668"/>
    <x v="2"/>
  </r>
  <r>
    <s v="HIP-100390"/>
    <s v="2025-01-17"/>
    <s v="La Serena"/>
    <x v="6"/>
    <s v="J. Cáceres"/>
    <x v="2"/>
    <s v="Departamento usado"/>
    <n v="14439"/>
    <n v="20"/>
    <n v="5.65"/>
    <n v="80"/>
    <n v="2887.7999999999993"/>
    <n v="80.441028462749188"/>
    <n v="196.9"/>
    <n v="40.853747314753271"/>
    <x v="1"/>
  </r>
  <r>
    <s v="HIP-100391"/>
    <s v="2025-04-10"/>
    <s v="La Serena"/>
    <x v="6"/>
    <s v="M. Silva"/>
    <x v="3"/>
    <s v="Casa nueva"/>
    <n v="3604"/>
    <n v="30"/>
    <n v="4.58"/>
    <n v="85"/>
    <n v="540.60000000000014"/>
    <n v="15.667753082165607"/>
    <n v="40.6"/>
    <n v="38.590524832920217"/>
    <x v="2"/>
  </r>
  <r>
    <s v="HIP-100392"/>
    <s v="2025-03-19"/>
    <s v="La Florida"/>
    <x v="0"/>
    <s v="S. Bravo"/>
    <x v="4"/>
    <s v="Departamento usado"/>
    <n v="12522"/>
    <n v="25"/>
    <n v="5"/>
    <n v="80"/>
    <n v="2504.3999999999996"/>
    <n v="58.561891998103313"/>
    <n v="182.2"/>
    <n v="32.141543357905221"/>
    <x v="1"/>
  </r>
  <r>
    <s v="HIP-100393"/>
    <s v="2025-08-23"/>
    <s v="Temuco"/>
    <x v="3"/>
    <s v="B. Reyes"/>
    <x v="3"/>
    <s v="Casa usada"/>
    <n v="12742"/>
    <n v="20"/>
    <n v="4.72"/>
    <n v="80"/>
    <n v="2548.3999999999996"/>
    <n v="65.706554455064364"/>
    <n v="211.2"/>
    <n v="31.111057980617595"/>
    <x v="0"/>
  </r>
  <r>
    <s v="HIP-100394"/>
    <s v="2025-02-05"/>
    <s v="Santiago Centro"/>
    <x v="0"/>
    <s v="J. Cáceres"/>
    <x v="2"/>
    <s v="Casa nueva"/>
    <n v="17084"/>
    <n v="30"/>
    <n v="5.01"/>
    <n v="75"/>
    <n v="4271"/>
    <n v="68.861283456651663"/>
    <n v="195.9"/>
    <n v="35.15124219328824"/>
    <x v="1"/>
  </r>
  <r>
    <s v="HIP-100395"/>
    <s v="2025-08-16"/>
    <s v="Maipú"/>
    <x v="0"/>
    <s v="A. Rojas"/>
    <x v="4"/>
    <s v="Departamento usado"/>
    <n v="6204"/>
    <n v="30"/>
    <n v="5.48"/>
    <n v="80"/>
    <n v="1240.7999999999997"/>
    <n v="28.118255602095655"/>
    <n v="70.5"/>
    <n v="39.884050499426458"/>
    <x v="2"/>
  </r>
  <r>
    <s v="HIP-100396"/>
    <s v="2025-09-12"/>
    <s v="Providencia"/>
    <x v="0"/>
    <s v="P. Vega"/>
    <x v="3"/>
    <s v="Departamento usado"/>
    <n v="7693"/>
    <n v="30"/>
    <n v="5.05"/>
    <n v="70"/>
    <n v="2307.9000000000005"/>
    <n v="29.073161904802387"/>
    <n v="91.6"/>
    <n v="31.739259721399986"/>
    <x v="2"/>
  </r>
  <r>
    <s v="HIP-100397"/>
    <s v="2025-12-06"/>
    <s v="Providencia"/>
    <x v="0"/>
    <s v="M. Silva"/>
    <x v="4"/>
    <s v="Casa usada"/>
    <n v="3001"/>
    <n v="20"/>
    <n v="4.3499999999999996"/>
    <n v="90"/>
    <n v="300.09999999999991"/>
    <n v="16.869314121978576"/>
    <n v="50.1"/>
    <n v="33.67128567261193"/>
    <x v="1"/>
  </r>
  <r>
    <s v="HIP-100398"/>
    <s v="2025-02-16"/>
    <s v="Puerto Montt"/>
    <x v="10"/>
    <s v="G. Herrera"/>
    <x v="0"/>
    <s v="Departamento usado"/>
    <n v="7559"/>
    <n v="30"/>
    <n v="5.26"/>
    <n v="70"/>
    <n v="2267.7000000000003"/>
    <n v="29.25153625943755"/>
    <n v="132.80000000000001"/>
    <n v="22.02675923150418"/>
    <x v="3"/>
  </r>
  <r>
    <s v="HIP-100399"/>
    <s v="2025-12-07"/>
    <s v="Viña del Mar"/>
    <x v="2"/>
    <s v="F. Soto"/>
    <x v="3"/>
    <s v="Departamento nuevo"/>
    <n v="6683"/>
    <n v="15"/>
    <n v="5.46"/>
    <n v="85"/>
    <n v="1002.4500000000002"/>
    <n v="46.294346177020209"/>
    <n v="91.4"/>
    <n v="50.650269340284694"/>
    <x v="2"/>
  </r>
  <r>
    <s v="HIP-100400"/>
    <s v="2025-01-05"/>
    <s v="Valparaíso"/>
    <x v="2"/>
    <s v="B. Reyes"/>
    <x v="3"/>
    <s v="Casa usada"/>
    <n v="6967"/>
    <n v="25"/>
    <n v="3.99"/>
    <n v="90"/>
    <n v="696.69999999999982"/>
    <n v="33.062341477701665"/>
    <n v="73.8"/>
    <n v="44.799920701492773"/>
    <x v="2"/>
  </r>
  <r>
    <s v="HIP-100401"/>
    <s v="2025-08-09"/>
    <s v="Santiago Centro"/>
    <x v="0"/>
    <s v="V. Morales"/>
    <x v="1"/>
    <s v="Departamento usado"/>
    <n v="10610"/>
    <n v="25"/>
    <n v="4.24"/>
    <n v="75"/>
    <n v="2652.5"/>
    <n v="43.064265267672305"/>
    <n v="117.9"/>
    <n v="36.526094374616029"/>
    <x v="0"/>
  </r>
  <r>
    <s v="HIP-100402"/>
    <s v="2025-04-19"/>
    <s v="La Florida"/>
    <x v="0"/>
    <s v="C. Tapia"/>
    <x v="4"/>
    <s v="Casa usada"/>
    <n v="5387"/>
    <n v="20"/>
    <n v="4.04"/>
    <n v="80"/>
    <n v="1077.3999999999999"/>
    <n v="26.206252300887112"/>
    <n v="58.3"/>
    <n v="44.95069005297961"/>
    <x v="2"/>
  </r>
  <r>
    <s v="HIP-100403"/>
    <s v="2025-01-10"/>
    <s v="Talcahuano"/>
    <x v="1"/>
    <s v="E. Castro"/>
    <x v="2"/>
    <s v="Departamento usado"/>
    <n v="8199"/>
    <n v="25"/>
    <n v="4.88"/>
    <n v="80"/>
    <n v="1639.7999999999997"/>
    <n v="37.887244032049104"/>
    <n v="124.7"/>
    <n v="30.382713738611951"/>
    <x v="2"/>
  </r>
  <r>
    <s v="HIP-100404"/>
    <s v="2025-08-15"/>
    <s v="Rancagua"/>
    <x v="12"/>
    <s v="M. Silva"/>
    <x v="0"/>
    <s v="Casa nueva"/>
    <n v="7277"/>
    <n v="25"/>
    <n v="5.29"/>
    <n v="80"/>
    <n v="1455.3999999999996"/>
    <n v="35.023323010426004"/>
    <n v="122.4"/>
    <n v="28.613825988910136"/>
    <x v="2"/>
  </r>
  <r>
    <s v="HIP-100405"/>
    <s v="2025-05-20"/>
    <s v="Valparaíso"/>
    <x v="2"/>
    <s v="P. Vega"/>
    <x v="0"/>
    <s v="Departamento usado"/>
    <n v="16670"/>
    <n v="30"/>
    <n v="5.18"/>
    <n v="85"/>
    <n v="2500.5000000000005"/>
    <n v="77.631295053673455"/>
    <n v="240"/>
    <n v="32.346372939030601"/>
    <x v="1"/>
  </r>
  <r>
    <s v="HIP-100406"/>
    <s v="2025-08-11"/>
    <s v="Maipú"/>
    <x v="0"/>
    <s v="D. Araya"/>
    <x v="1"/>
    <s v="Departamento usado"/>
    <n v="17811"/>
    <n v="25"/>
    <n v="4.2300000000000004"/>
    <n v="80"/>
    <n v="3562.1999999999994"/>
    <n v="77.031700064638343"/>
    <n v="203.6"/>
    <n v="37.834823214458915"/>
    <x v="2"/>
  </r>
  <r>
    <s v="HIP-100407"/>
    <s v="2025-12-13"/>
    <s v="Talca"/>
    <x v="9"/>
    <s v="F. Soto"/>
    <x v="4"/>
    <s v="Departamento nuevo"/>
    <n v="6945"/>
    <n v="25"/>
    <n v="3.96"/>
    <n v="80"/>
    <n v="1388.9999999999998"/>
    <n v="29.20404328169721"/>
    <n v="96.2"/>
    <n v="30.357633348957595"/>
    <x v="2"/>
  </r>
  <r>
    <s v="HIP-100408"/>
    <s v="2025-05-16"/>
    <s v="Las Condes"/>
    <x v="0"/>
    <s v="E. Castro"/>
    <x v="3"/>
    <s v="Casa nueva"/>
    <n v="8781"/>
    <n v="25"/>
    <n v="5.23"/>
    <n v="75"/>
    <n v="2195.25"/>
    <n v="39.387287088189943"/>
    <n v="112.4"/>
    <n v="35.042070363158309"/>
    <x v="2"/>
  </r>
  <r>
    <s v="HIP-100409"/>
    <s v="2025-11-13"/>
    <s v="Talcahuano"/>
    <x v="1"/>
    <s v="V. Morales"/>
    <x v="3"/>
    <s v="Departamento usado"/>
    <n v="15203"/>
    <n v="25"/>
    <n v="4.3499999999999996"/>
    <n v="85"/>
    <n v="2280.4500000000003"/>
    <n v="70.731942055214475"/>
    <n v="163.19999999999999"/>
    <n v="43.340650769126519"/>
    <x v="2"/>
  </r>
  <r>
    <s v="HIP-100410"/>
    <s v="2025-05-06"/>
    <s v="Santiago Centro"/>
    <x v="0"/>
    <s v="T. Núñez"/>
    <x v="4"/>
    <s v="Departamento usado"/>
    <n v="3848"/>
    <n v="25"/>
    <n v="5.1100000000000003"/>
    <n v="75"/>
    <n v="962"/>
    <n v="17.056744723723249"/>
    <n v="63.7"/>
    <n v="26.776679315107138"/>
    <x v="2"/>
  </r>
  <r>
    <s v="HIP-100411"/>
    <s v="2025-01-07"/>
    <s v="Maipú"/>
    <x v="0"/>
    <s v="R. Pinto"/>
    <x v="2"/>
    <s v="Casa nueva"/>
    <n v="9674"/>
    <n v="15"/>
    <n v="4.4800000000000004"/>
    <n v="80"/>
    <n v="1934.7999999999995"/>
    <n v="59.125285103924831"/>
    <n v="139.80000000000001"/>
    <n v="42.292764738143653"/>
    <x v="2"/>
  </r>
  <r>
    <s v="HIP-100412"/>
    <s v="2025-09-01"/>
    <s v="Santiago Centro"/>
    <x v="0"/>
    <s v="T. Núñez"/>
    <x v="1"/>
    <s v="Casa nueva"/>
    <n v="12948"/>
    <n v="30"/>
    <n v="4.17"/>
    <n v="70"/>
    <n v="3884.4000000000005"/>
    <n v="44.164004056101938"/>
    <n v="145"/>
    <n v="30.457933831794438"/>
    <x v="1"/>
  </r>
  <r>
    <s v="HIP-100413"/>
    <s v="2025-11-01"/>
    <s v="Concepción"/>
    <x v="1"/>
    <s v="P. Vega"/>
    <x v="0"/>
    <s v="Casa usada"/>
    <n v="10319"/>
    <n v="25"/>
    <n v="4.8499999999999996"/>
    <n v="80"/>
    <n v="2063.7999999999997"/>
    <n v="47.540380325191407"/>
    <n v="170.8"/>
    <n v="27.833946326224474"/>
    <x v="1"/>
  </r>
  <r>
    <s v="HIP-100414"/>
    <s v="2025-07-08"/>
    <s v="La Florida"/>
    <x v="0"/>
    <s v="N. Fuentes"/>
    <x v="2"/>
    <s v="Casa usada"/>
    <n v="13663"/>
    <n v="20"/>
    <n v="4.0999999999999996"/>
    <n v="80"/>
    <n v="2732.5999999999995"/>
    <n v="66.813447753631806"/>
    <n v="238"/>
    <n v="28.072877207408318"/>
    <x v="2"/>
  </r>
  <r>
    <s v="HIP-100415"/>
    <s v="2025-04-16"/>
    <s v="Iquique"/>
    <x v="8"/>
    <s v="S. Bravo"/>
    <x v="2"/>
    <s v="Casa usada"/>
    <n v="2109"/>
    <n v="15"/>
    <n v="4.7300000000000004"/>
    <n v="80"/>
    <n v="421.7999999999999"/>
    <n v="13.106174475514081"/>
    <n v="28.6"/>
    <n v="45.825784879419864"/>
    <x v="2"/>
  </r>
  <r>
    <s v="HIP-100416"/>
    <s v="2025-10-02"/>
    <s v="La Serena"/>
    <x v="6"/>
    <s v="V. Morales"/>
    <x v="4"/>
    <s v="Casa nueva"/>
    <n v="9692"/>
    <n v="25"/>
    <n v="4.41"/>
    <n v="70"/>
    <n v="2907.6000000000004"/>
    <n v="37.364161502559227"/>
    <n v="165.7"/>
    <n v="22.549282741435867"/>
    <x v="0"/>
  </r>
  <r>
    <s v="HIP-100417"/>
    <s v="2025-07-28"/>
    <s v="Iquique"/>
    <x v="8"/>
    <s v="G. Herrera"/>
    <x v="3"/>
    <s v="Casa nueva"/>
    <n v="17802"/>
    <n v="30"/>
    <n v="4.59"/>
    <n v="85"/>
    <n v="2670.3"/>
    <n v="77.48140236593008"/>
    <n v="302.10000000000002"/>
    <n v="25.647600915567718"/>
    <x v="2"/>
  </r>
  <r>
    <s v="HIP-100418"/>
    <s v="2025-05-14"/>
    <s v="Copiapó"/>
    <x v="13"/>
    <s v="L. Muñoz"/>
    <x v="2"/>
    <s v="Casa usada"/>
    <n v="5206"/>
    <n v="30"/>
    <n v="4.83"/>
    <n v="80"/>
    <n v="1041.1999999999998"/>
    <n v="21.926848448468611"/>
    <n v="57.1"/>
    <n v="38.400785373850454"/>
    <x v="2"/>
  </r>
  <r>
    <s v="HIP-100419"/>
    <s v="2025-01-16"/>
    <s v="Arica"/>
    <x v="4"/>
    <s v="G. Herrera"/>
    <x v="4"/>
    <s v="Departamento usado"/>
    <n v="13637"/>
    <n v="20"/>
    <n v="4.96"/>
    <n v="80"/>
    <n v="2727.3999999999992"/>
    <n v="71.75768193397181"/>
    <n v="223.2"/>
    <n v="32.149499074360136"/>
    <x v="2"/>
  </r>
  <r>
    <s v="HIP-100420"/>
    <s v="2025-06-08"/>
    <s v="Las Condes"/>
    <x v="0"/>
    <s v="C. Tapia"/>
    <x v="2"/>
    <s v="Departamento nuevo"/>
    <n v="15641"/>
    <n v="25"/>
    <n v="4.0999999999999996"/>
    <n v="70"/>
    <n v="4692.3000000000011"/>
    <n v="58.397520006044516"/>
    <n v="261.10000000000002"/>
    <n v="22.365959404842783"/>
    <x v="2"/>
  </r>
  <r>
    <s v="HIP-100421"/>
    <s v="2025-12-15"/>
    <s v="La Serena"/>
    <x v="6"/>
    <s v="D. Araya"/>
    <x v="3"/>
    <s v="Departamento usado"/>
    <n v="1623"/>
    <n v="30"/>
    <n v="4.28"/>
    <n v="90"/>
    <n v="162.29999999999995"/>
    <n v="7.2114432336802468"/>
    <n v="23.5"/>
    <n v="30.68699248374573"/>
    <x v="2"/>
  </r>
  <r>
    <s v="HIP-100422"/>
    <s v="2025-03-01"/>
    <s v="Providencia"/>
    <x v="0"/>
    <s v="L. Muñoz"/>
    <x v="0"/>
    <s v="Casa nueva"/>
    <n v="13137"/>
    <n v="25"/>
    <n v="4.29"/>
    <n v="90"/>
    <n v="1313.6999999999998"/>
    <n v="64.316421681970411"/>
    <n v="203.9"/>
    <n v="31.543120000966361"/>
    <x v="2"/>
  </r>
  <r>
    <s v="HIP-100423"/>
    <s v="2025-10-25"/>
    <s v="Providencia"/>
    <x v="0"/>
    <s v="M. Silva"/>
    <x v="4"/>
    <s v="Departamento usado"/>
    <n v="2099"/>
    <n v="30"/>
    <n v="4.43"/>
    <n v="90"/>
    <n v="209.89999999999995"/>
    <n v="9.4933806494537532"/>
    <n v="32"/>
    <n v="29.666814529542979"/>
    <x v="2"/>
  </r>
  <r>
    <s v="HIP-100424"/>
    <s v="2025-08-18"/>
    <s v="Valdivia"/>
    <x v="5"/>
    <s v="N. Fuentes"/>
    <x v="2"/>
    <s v="Departamento usado"/>
    <n v="1863"/>
    <n v="20"/>
    <n v="5.48"/>
    <n v="80"/>
    <n v="372.59999999999991"/>
    <n v="10.235444238294312"/>
    <n v="22.9"/>
    <n v="44.696263049320137"/>
    <x v="2"/>
  </r>
  <r>
    <s v="HIP-100425"/>
    <s v="2025-11-20"/>
    <s v="Santiago Centro"/>
    <x v="0"/>
    <s v="B. Reyes"/>
    <x v="2"/>
    <s v="Casa usada"/>
    <n v="13079"/>
    <n v="20"/>
    <n v="5.3"/>
    <n v="85"/>
    <n v="1961.8500000000004"/>
    <n v="75.223135978991863"/>
    <n v="138"/>
    <n v="54.509518825356416"/>
    <x v="3"/>
  </r>
  <r>
    <s v="HIP-100426"/>
    <s v="2025-07-08"/>
    <s v="Puerto Montt"/>
    <x v="10"/>
    <s v="B. Reyes"/>
    <x v="2"/>
    <s v="Casa nueva"/>
    <n v="8635"/>
    <n v="30"/>
    <n v="4.03"/>
    <n v="80"/>
    <n v="1726.9999999999995"/>
    <n v="33.099436864454425"/>
    <n v="112.3"/>
    <n v="29.474120093013738"/>
    <x v="2"/>
  </r>
  <r>
    <s v="HIP-100427"/>
    <s v="2025-08-20"/>
    <s v="Chillán"/>
    <x v="11"/>
    <s v="A. Rojas"/>
    <x v="1"/>
    <s v="Casa nueva"/>
    <n v="7410"/>
    <n v="20"/>
    <n v="5.74"/>
    <n v="80"/>
    <n v="1481.9999999999998"/>
    <n v="41.585675369871119"/>
    <n v="108"/>
    <n v="38.50525497210289"/>
    <x v="1"/>
  </r>
  <r>
    <s v="HIP-100428"/>
    <s v="2025-10-11"/>
    <s v="La Florida"/>
    <x v="0"/>
    <s v="B. Reyes"/>
    <x v="2"/>
    <s v="Casa nueva"/>
    <n v="13154"/>
    <n v="30"/>
    <n v="5.45"/>
    <n v="75"/>
    <n v="3288.5"/>
    <n v="55.706128462758215"/>
    <n v="142.80000000000001"/>
    <n v="39.009893881483343"/>
    <x v="2"/>
  </r>
  <r>
    <s v="HIP-100429"/>
    <s v="2025-09-22"/>
    <s v="Providencia"/>
    <x v="0"/>
    <s v="F. Soto"/>
    <x v="3"/>
    <s v="Departamento usado"/>
    <n v="2832"/>
    <n v="15"/>
    <n v="4.24"/>
    <n v="85"/>
    <n v="424.80000000000007"/>
    <n v="18.096665193438621"/>
    <n v="35.700000000000003"/>
    <n v="50.69093891719502"/>
    <x v="2"/>
  </r>
  <r>
    <s v="HIP-100430"/>
    <s v="2025-02-27"/>
    <s v="Iquique"/>
    <x v="8"/>
    <s v="A. Rojas"/>
    <x v="1"/>
    <s v="Departamento usado"/>
    <n v="7967"/>
    <n v="30"/>
    <n v="4.4000000000000004"/>
    <n v="75"/>
    <n v="1991.75"/>
    <n v="29.921716286693012"/>
    <n v="110.4"/>
    <n v="27.103003882874106"/>
    <x v="2"/>
  </r>
  <r>
    <s v="HIP-100431"/>
    <s v="2025-05-24"/>
    <s v="Copiapó"/>
    <x v="13"/>
    <s v="R. Pinto"/>
    <x v="1"/>
    <s v="Departamento usado"/>
    <n v="1772"/>
    <n v="15"/>
    <n v="4.38"/>
    <n v="85"/>
    <n v="265.8"/>
    <n v="11.430170176975867"/>
    <n v="30.8"/>
    <n v="37.110942133038527"/>
    <x v="2"/>
  </r>
  <r>
    <s v="HIP-100432"/>
    <s v="2025-12-25"/>
    <s v="Antofagasta"/>
    <x v="7"/>
    <s v="N. Fuentes"/>
    <x v="0"/>
    <s v="Casa usada"/>
    <n v="9694"/>
    <n v="20"/>
    <n v="5.33"/>
    <n v="70"/>
    <n v="2908.2000000000003"/>
    <n v="46.029521136497763"/>
    <n v="113.5"/>
    <n v="40.55464417312578"/>
    <x v="0"/>
  </r>
  <r>
    <s v="HIP-100433"/>
    <s v="2025-04-24"/>
    <s v="Chillán"/>
    <x v="11"/>
    <s v="B. Reyes"/>
    <x v="0"/>
    <s v="Departamento nuevo"/>
    <n v="3851"/>
    <n v="20"/>
    <n v="5.51"/>
    <n v="80"/>
    <n v="770.19999999999982"/>
    <n v="21.209836250642155"/>
    <n v="52.6"/>
    <n v="40.322882605783569"/>
    <x v="3"/>
  </r>
  <r>
    <s v="HIP-100434"/>
    <s v="2025-06-20"/>
    <s v="Arica"/>
    <x v="4"/>
    <s v="G. Herrera"/>
    <x v="3"/>
    <s v="Departamento nuevo"/>
    <n v="2264"/>
    <n v="30"/>
    <n v="4.3"/>
    <n v="85"/>
    <n v="339.6"/>
    <n v="9.5233060267682195"/>
    <n v="39.4"/>
    <n v="24.170827479107157"/>
    <x v="2"/>
  </r>
  <r>
    <s v="HIP-100435"/>
    <s v="2025-12-21"/>
    <s v="Santiago Centro"/>
    <x v="0"/>
    <s v="S. Bravo"/>
    <x v="0"/>
    <s v="Departamento nuevo"/>
    <n v="12725"/>
    <n v="25"/>
    <n v="4.91"/>
    <n v="70"/>
    <n v="3817.5000000000005"/>
    <n v="51.606351001999137"/>
    <n v="215.2"/>
    <n v="23.980646376393651"/>
    <x v="3"/>
  </r>
  <r>
    <s v="HIP-100436"/>
    <s v="2025-06-06"/>
    <s v="Las Condes"/>
    <x v="0"/>
    <s v="M. Silva"/>
    <x v="3"/>
    <s v="Departamento nuevo"/>
    <n v="3733"/>
    <n v="30"/>
    <n v="3.98"/>
    <n v="90"/>
    <n v="373.2999999999999"/>
    <n v="16.001007685306043"/>
    <n v="43.8"/>
    <n v="36.531981016680461"/>
    <x v="2"/>
  </r>
  <r>
    <s v="HIP-100437"/>
    <s v="2025-11-23"/>
    <s v="Talca"/>
    <x v="9"/>
    <s v="S. Bravo"/>
    <x v="2"/>
    <s v="Departamento nuevo"/>
    <n v="11478"/>
    <n v="20"/>
    <n v="4.4800000000000004"/>
    <n v="90"/>
    <n v="1147.7999999999997"/>
    <n v="65.242475185416168"/>
    <n v="193.1"/>
    <n v="33.786885129682119"/>
    <x v="2"/>
  </r>
  <r>
    <s v="HIP-100438"/>
    <s v="2025-05-19"/>
    <s v="Antofagasta"/>
    <x v="7"/>
    <s v="F. Soto"/>
    <x v="3"/>
    <s v="Casa nueva"/>
    <n v="5592"/>
    <n v="15"/>
    <n v="5.28"/>
    <n v="85"/>
    <n v="838.80000000000007"/>
    <n v="38.28493438623655"/>
    <n v="89.1"/>
    <n v="42.968500994653816"/>
    <x v="2"/>
  </r>
  <r>
    <s v="HIP-100439"/>
    <s v="2025-07-24"/>
    <s v="Viña del Mar"/>
    <x v="2"/>
    <s v="P. Vega"/>
    <x v="4"/>
    <s v="Departamento usado"/>
    <n v="16927"/>
    <n v="25"/>
    <n v="5.03"/>
    <n v="85"/>
    <n v="2539.0500000000002"/>
    <n v="84.362198246819119"/>
    <n v="262.10000000000002"/>
    <n v="32.187027183067194"/>
    <x v="2"/>
  </r>
  <r>
    <s v="HIP-100440"/>
    <s v="2025-04-24"/>
    <s v="La Florida"/>
    <x v="0"/>
    <s v="G. Herrera"/>
    <x v="2"/>
    <s v="Casa usada"/>
    <n v="3536"/>
    <n v="15"/>
    <n v="5.48"/>
    <n v="90"/>
    <n v="353.59999999999991"/>
    <n v="25.969101198668938"/>
    <n v="48.8"/>
    <n v="53.215371308747827"/>
    <x v="2"/>
  </r>
  <r>
    <s v="HIP-100441"/>
    <s v="2025-11-19"/>
    <s v="Temuco"/>
    <x v="3"/>
    <s v="C. Tapia"/>
    <x v="2"/>
    <s v="Casa nueva"/>
    <n v="17792"/>
    <n v="30"/>
    <n v="4.87"/>
    <n v="90"/>
    <n v="1779.1999999999996"/>
    <n v="84.692464037150756"/>
    <n v="251.7"/>
    <n v="33.648178004430179"/>
    <x v="1"/>
  </r>
  <r>
    <s v="HIP-100442"/>
    <s v="2025-10-25"/>
    <s v="Valdivia"/>
    <x v="5"/>
    <s v="L. Muñoz"/>
    <x v="3"/>
    <s v="Departamento usado"/>
    <n v="15436"/>
    <n v="25"/>
    <n v="4.76"/>
    <n v="75"/>
    <n v="3859"/>
    <n v="66.069091708446237"/>
    <n v="184.8"/>
    <n v="35.751673002405973"/>
    <x v="2"/>
  </r>
  <r>
    <s v="HIP-100443"/>
    <s v="2025-05-01"/>
    <s v="Iquique"/>
    <x v="8"/>
    <s v="R. Pinto"/>
    <x v="4"/>
    <s v="Casa nueva"/>
    <n v="9885"/>
    <n v="15"/>
    <n v="4.12"/>
    <n v="70"/>
    <n v="2965.5000000000005"/>
    <n v="51.599804447774581"/>
    <n v="128.5"/>
    <n v="40.155489842626139"/>
    <x v="2"/>
  </r>
  <r>
    <s v="HIP-100444"/>
    <s v="2025-05-22"/>
    <s v="Maipú"/>
    <x v="0"/>
    <s v="P. Vega"/>
    <x v="1"/>
    <s v="Departamento nuevo"/>
    <n v="12532"/>
    <n v="20"/>
    <n v="4.37"/>
    <n v="85"/>
    <n v="1879.8000000000002"/>
    <n v="66.645877777878567"/>
    <n v="156.6"/>
    <n v="42.558031786640207"/>
    <x v="3"/>
  </r>
  <r>
    <s v="HIP-100445"/>
    <s v="2025-05-26"/>
    <s v="Temuco"/>
    <x v="3"/>
    <s v="D. Araya"/>
    <x v="4"/>
    <s v="Casa nueva"/>
    <n v="7147"/>
    <n v="20"/>
    <n v="4.3499999999999996"/>
    <n v="75"/>
    <n v="1786.75"/>
    <n v="33.479114747800978"/>
    <n v="97"/>
    <n v="34.514551286392759"/>
    <x v="0"/>
  </r>
  <r>
    <s v="HIP-100446"/>
    <s v="2025-05-11"/>
    <s v="Talcahuano"/>
    <x v="1"/>
    <s v="F. Soto"/>
    <x v="4"/>
    <s v="Departamento usado"/>
    <n v="12919"/>
    <n v="30"/>
    <n v="5.01"/>
    <n v="80"/>
    <n v="2583.7999999999993"/>
    <n v="55.544769904096334"/>
    <n v="143"/>
    <n v="38.842496436430999"/>
    <x v="0"/>
  </r>
  <r>
    <s v="HIP-100447"/>
    <s v="2025-02-17"/>
    <s v="Viña del Mar"/>
    <x v="2"/>
    <s v="T. Núñez"/>
    <x v="2"/>
    <s v="Casa usada"/>
    <n v="17677"/>
    <n v="25"/>
    <n v="5.75"/>
    <n v="70"/>
    <n v="5303.1"/>
    <n v="77.84499712937729"/>
    <n v="253.4"/>
    <n v="30.720204076313056"/>
    <x v="2"/>
  </r>
  <r>
    <s v="HIP-100448"/>
    <s v="2025-03-04"/>
    <s v="Puerto Montt"/>
    <x v="10"/>
    <s v="F. Soto"/>
    <x v="2"/>
    <s v="Departamento usado"/>
    <n v="14837"/>
    <n v="20"/>
    <n v="4.4400000000000004"/>
    <n v="90"/>
    <n v="1483.6999999999996"/>
    <n v="84.047701455359643"/>
    <n v="169.6"/>
    <n v="49.556427744905449"/>
    <x v="2"/>
  </r>
  <r>
    <s v="HIP-100449"/>
    <s v="2025-03-24"/>
    <s v="Maipú"/>
    <x v="0"/>
    <s v="C. Tapia"/>
    <x v="2"/>
    <s v="Casa nueva"/>
    <n v="12214"/>
    <n v="30"/>
    <n v="4.95"/>
    <n v="70"/>
    <n v="3664.2000000000007"/>
    <n v="45.636267267283678"/>
    <n v="146.6"/>
    <n v="31.12978667618259"/>
    <x v="2"/>
  </r>
  <r>
    <s v="HIP-100450"/>
    <s v="2025-09-28"/>
    <s v="Antofagasta"/>
    <x v="7"/>
    <s v="V. Morales"/>
    <x v="3"/>
    <s v="Departamento nuevo"/>
    <n v="10575"/>
    <n v="20"/>
    <n v="4.0199999999999996"/>
    <n v="85"/>
    <n v="1586.2500000000002"/>
    <n v="54.564832661241283"/>
    <n v="191"/>
    <n v="28.56797521530957"/>
    <x v="3"/>
  </r>
  <r>
    <s v="HIP-100451"/>
    <s v="2025-10-20"/>
    <s v="Viña del Mar"/>
    <x v="2"/>
    <s v="A. Rojas"/>
    <x v="2"/>
    <s v="Departamento usado"/>
    <n v="14461"/>
    <n v="30"/>
    <n v="5.74"/>
    <n v="85"/>
    <n v="2169.1500000000005"/>
    <n v="71.653833728102541"/>
    <n v="161.1"/>
    <n v="44.477860787152416"/>
    <x v="2"/>
  </r>
  <r>
    <s v="HIP-100452"/>
    <s v="2025-02-19"/>
    <s v="Maipú"/>
    <x v="0"/>
    <s v="V. Morales"/>
    <x v="4"/>
    <s v="Departamento nuevo"/>
    <n v="11766"/>
    <n v="25"/>
    <n v="5.55"/>
    <n v="85"/>
    <n v="1764.9000000000003"/>
    <n v="61.714491853405974"/>
    <n v="183.2"/>
    <n v="33.68694970164082"/>
    <x v="1"/>
  </r>
  <r>
    <s v="HIP-100453"/>
    <s v="2025-07-11"/>
    <s v="La Serena"/>
    <x v="6"/>
    <s v="V. Morales"/>
    <x v="0"/>
    <s v="Departamento nuevo"/>
    <n v="14905"/>
    <n v="20"/>
    <n v="5.14"/>
    <n v="75"/>
    <n v="3726.25"/>
    <n v="74.642090134190312"/>
    <n v="170.4"/>
    <n v="43.804043505980225"/>
    <x v="1"/>
  </r>
  <r>
    <s v="HIP-100454"/>
    <s v="2025-09-14"/>
    <s v="Talcahuano"/>
    <x v="1"/>
    <s v="P. Vega"/>
    <x v="0"/>
    <s v="Casa usada"/>
    <n v="13087"/>
    <n v="20"/>
    <n v="4.46"/>
    <n v="80"/>
    <n v="2617.3999999999996"/>
    <n v="66.010016126735906"/>
    <n v="203.5"/>
    <n v="32.43735436203238"/>
    <x v="2"/>
  </r>
  <r>
    <s v="HIP-100455"/>
    <s v="2025-06-24"/>
    <s v="Iquique"/>
    <x v="8"/>
    <s v="T. Núñez"/>
    <x v="2"/>
    <s v="Casa usada"/>
    <n v="3144"/>
    <n v="15"/>
    <n v="4.91"/>
    <n v="80"/>
    <n v="628.79999999999984"/>
    <n v="19.772321121698667"/>
    <n v="36.4"/>
    <n v="54.319563521150179"/>
    <x v="2"/>
  </r>
  <r>
    <s v="HIP-100456"/>
    <s v="2025-02-03"/>
    <s v="La Florida"/>
    <x v="0"/>
    <s v="P. Vega"/>
    <x v="3"/>
    <s v="Casa nueva"/>
    <n v="17755"/>
    <n v="25"/>
    <n v="4.13"/>
    <n v="80"/>
    <n v="3550.9999999999991"/>
    <n v="75.997257478965281"/>
    <n v="247.1"/>
    <n v="30.755668749075387"/>
    <x v="2"/>
  </r>
  <r>
    <s v="HIP-100457"/>
    <s v="2025-07-19"/>
    <s v="Valdivia"/>
    <x v="5"/>
    <s v="D. Araya"/>
    <x v="2"/>
    <s v="Casa nueva"/>
    <n v="4681"/>
    <n v="20"/>
    <n v="3.97"/>
    <n v="70"/>
    <n v="1404.3000000000002"/>
    <n v="19.804397778213215"/>
    <n v="65.400000000000006"/>
    <n v="30.281953789316841"/>
    <x v="2"/>
  </r>
  <r>
    <s v="HIP-100458"/>
    <s v="2025-01-03"/>
    <s v="La Serena"/>
    <x v="6"/>
    <s v="A. Rojas"/>
    <x v="1"/>
    <s v="Departamento usado"/>
    <n v="11937"/>
    <n v="25"/>
    <n v="5.46"/>
    <n v="75"/>
    <n v="2984.25"/>
    <n v="54.764062361295203"/>
    <n v="174.8"/>
    <n v="31.329555126599086"/>
    <x v="1"/>
  </r>
  <r>
    <s v="HIP-100459"/>
    <s v="2025-03-11"/>
    <s v="Santiago Centro"/>
    <x v="0"/>
    <s v="M. Silva"/>
    <x v="0"/>
    <s v="Casa usada"/>
    <n v="6752"/>
    <n v="30"/>
    <n v="5.42"/>
    <n v="80"/>
    <n v="1350.3999999999996"/>
    <n v="30.399117876047281"/>
    <n v="102.6"/>
    <n v="29.628769859695208"/>
    <x v="1"/>
  </r>
  <r>
    <s v="HIP-100460"/>
    <s v="2025-05-15"/>
    <s v="Antofagasta"/>
    <x v="7"/>
    <s v="J. Cáceres"/>
    <x v="4"/>
    <s v="Casa usada"/>
    <n v="5446"/>
    <n v="20"/>
    <n v="4.91"/>
    <n v="90"/>
    <n v="544.59999999999991"/>
    <n v="32.103880309557326"/>
    <n v="65.900000000000006"/>
    <n v="48.716055097962553"/>
    <x v="1"/>
  </r>
  <r>
    <s v="HIP-100461"/>
    <s v="2025-11-26"/>
    <s v="Maipú"/>
    <x v="0"/>
    <s v="R. Pinto"/>
    <x v="1"/>
    <s v="Departamento nuevo"/>
    <n v="17093"/>
    <n v="20"/>
    <n v="4.8"/>
    <n v="75"/>
    <n v="4273.25"/>
    <n v="83.194725240515567"/>
    <n v="197.4"/>
    <n v="42.145250881720145"/>
    <x v="2"/>
  </r>
  <r>
    <s v="HIP-100462"/>
    <s v="2025-06-13"/>
    <s v="La Florida"/>
    <x v="0"/>
    <s v="S. Bravo"/>
    <x v="4"/>
    <s v="Casa nueva"/>
    <n v="15277"/>
    <n v="20"/>
    <n v="5.2"/>
    <n v="70"/>
    <n v="4583.1000000000004"/>
    <n v="71.761849237392823"/>
    <n v="193.6"/>
    <n v="37.067070887083069"/>
    <x v="2"/>
  </r>
  <r>
    <s v="HIP-100463"/>
    <s v="2025-02-15"/>
    <s v="Iquique"/>
    <x v="8"/>
    <s v="N. Fuentes"/>
    <x v="2"/>
    <s v="Casa usada"/>
    <n v="10087"/>
    <n v="25"/>
    <n v="4.76"/>
    <n v="85"/>
    <n v="1513.0500000000002"/>
    <n v="48.930905144133419"/>
    <n v="113.4"/>
    <n v="43.148946335214653"/>
    <x v="1"/>
  </r>
  <r>
    <s v="HIP-100464"/>
    <s v="2025-08-13"/>
    <s v="Iquique"/>
    <x v="8"/>
    <s v="P. Vega"/>
    <x v="1"/>
    <s v="Departamento usado"/>
    <n v="5319"/>
    <n v="30"/>
    <n v="5.47"/>
    <n v="85"/>
    <n v="797.85000000000014"/>
    <n v="25.585558085823475"/>
    <n v="88.6"/>
    <n v="28.877605063006186"/>
    <x v="3"/>
  </r>
  <r>
    <s v="HIP-100465"/>
    <s v="2025-03-14"/>
    <s v="La Serena"/>
    <x v="6"/>
    <s v="J. Cáceres"/>
    <x v="0"/>
    <s v="Departamento usado"/>
    <n v="1626"/>
    <n v="20"/>
    <n v="4.95"/>
    <n v="70"/>
    <n v="487.80000000000007"/>
    <n v="7.480213538495347"/>
    <n v="26.8"/>
    <n v="27.911244546624431"/>
    <x v="0"/>
  </r>
  <r>
    <s v="HIP-100466"/>
    <s v="2025-05-28"/>
    <s v="Maipú"/>
    <x v="0"/>
    <s v="N. Fuentes"/>
    <x v="2"/>
    <s v="Casa nueva"/>
    <n v="11964"/>
    <n v="20"/>
    <n v="5.28"/>
    <n v="80"/>
    <n v="2392.7999999999993"/>
    <n v="64.655485721545418"/>
    <n v="211.9"/>
    <n v="30.512263200351775"/>
    <x v="2"/>
  </r>
  <r>
    <s v="HIP-100467"/>
    <s v="2025-10-07"/>
    <s v="La Florida"/>
    <x v="0"/>
    <s v="C. Tapia"/>
    <x v="2"/>
    <s v="Casa usada"/>
    <n v="9667"/>
    <n v="25"/>
    <n v="5.09"/>
    <n v="80"/>
    <n v="1933.3999999999996"/>
    <n v="45.616302562651427"/>
    <n v="109.2"/>
    <n v="41.773170844918887"/>
    <x v="2"/>
  </r>
  <r>
    <s v="HIP-100468"/>
    <s v="2025-03-22"/>
    <s v="La Florida"/>
    <x v="0"/>
    <s v="B. Reyes"/>
    <x v="1"/>
    <s v="Casa nueva"/>
    <n v="5812"/>
    <n v="30"/>
    <n v="5.12"/>
    <n v="85"/>
    <n v="871.80000000000018"/>
    <n v="26.883549122767125"/>
    <n v="61.5"/>
    <n v="43.71308800449939"/>
    <x v="2"/>
  </r>
  <r>
    <s v="HIP-100469"/>
    <s v="2025-08-08"/>
    <s v="La Serena"/>
    <x v="6"/>
    <s v="E. Castro"/>
    <x v="4"/>
    <s v="Departamento nuevo"/>
    <n v="8958"/>
    <n v="15"/>
    <n v="4.3099999999999996"/>
    <n v="80"/>
    <n v="1791.5999999999997"/>
    <n v="54.129156511062789"/>
    <n v="107.8"/>
    <n v="50.21257561323079"/>
    <x v="2"/>
  </r>
  <r>
    <s v="HIP-100470"/>
    <s v="2025-08-05"/>
    <s v="Las Condes"/>
    <x v="0"/>
    <s v="A. Rojas"/>
    <x v="2"/>
    <s v="Casa nueva"/>
    <n v="3321"/>
    <n v="30"/>
    <n v="5.18"/>
    <n v="70"/>
    <n v="996.30000000000018"/>
    <n v="12.73647423065561"/>
    <n v="37.700000000000003"/>
    <n v="33.783751274948564"/>
    <x v="3"/>
  </r>
  <r>
    <s v="HIP-100471"/>
    <s v="2025-02-20"/>
    <s v="Concepción"/>
    <x v="1"/>
    <s v="F. Soto"/>
    <x v="4"/>
    <s v="Casa usada"/>
    <n v="4389"/>
    <n v="20"/>
    <n v="5.33"/>
    <n v="80"/>
    <n v="877.79999999999984"/>
    <n v="23.81721456784328"/>
    <n v="66.900000000000006"/>
    <n v="35.601217590199219"/>
    <x v="2"/>
  </r>
  <r>
    <s v="HIP-100472"/>
    <s v="2025-06-09"/>
    <s v="Iquique"/>
    <x v="8"/>
    <s v="P. Vega"/>
    <x v="1"/>
    <s v="Departamento usado"/>
    <n v="15126"/>
    <n v="25"/>
    <n v="4.04"/>
    <n v="80"/>
    <n v="3025.1999999999994"/>
    <n v="64.14004355439026"/>
    <n v="186.9"/>
    <n v="34.317840318025823"/>
    <x v="0"/>
  </r>
  <r>
    <s v="HIP-100473"/>
    <s v="2025-12-02"/>
    <s v="Santiago Centro"/>
    <x v="0"/>
    <s v="G. Herrera"/>
    <x v="2"/>
    <s v="Departamento usado"/>
    <n v="6311"/>
    <n v="20"/>
    <n v="5"/>
    <n v="90"/>
    <n v="631.09999999999991"/>
    <n v="37.484826031766922"/>
    <n v="93.1"/>
    <n v="40.26297103304718"/>
    <x v="2"/>
  </r>
  <r>
    <s v="HIP-100474"/>
    <s v="2025-09-03"/>
    <s v="Las Condes"/>
    <x v="0"/>
    <s v="S. Bravo"/>
    <x v="0"/>
    <s v="Casa nueva"/>
    <n v="10294"/>
    <n v="25"/>
    <n v="4.16"/>
    <n v="75"/>
    <n v="2573.5"/>
    <n v="41.436793372461281"/>
    <n v="169.5"/>
    <n v="24.446485765463883"/>
    <x v="2"/>
  </r>
  <r>
    <s v="HIP-100475"/>
    <s v="2025-11-09"/>
    <s v="Valparaíso"/>
    <x v="2"/>
    <s v="T. Núñez"/>
    <x v="1"/>
    <s v="Casa usada"/>
    <n v="12812"/>
    <n v="25"/>
    <n v="5.16"/>
    <n v="80"/>
    <n v="2562.3999999999996"/>
    <n v="60.877480916412665"/>
    <n v="184.9"/>
    <n v="32.924543491840275"/>
    <x v="2"/>
  </r>
  <r>
    <s v="HIP-100476"/>
    <s v="2025-07-12"/>
    <s v="Valparaíso"/>
    <x v="2"/>
    <s v="A. Rojas"/>
    <x v="0"/>
    <s v="Casa nueva"/>
    <n v="5766"/>
    <n v="20"/>
    <n v="4.63"/>
    <n v="70"/>
    <n v="1729.8000000000002"/>
    <n v="25.819094857503782"/>
    <n v="70.2"/>
    <n v="36.779337403851535"/>
    <x v="3"/>
  </r>
  <r>
    <s v="HIP-100477"/>
    <s v="2025-07-06"/>
    <s v="Valparaíso"/>
    <x v="2"/>
    <s v="G. Herrera"/>
    <x v="4"/>
    <s v="Departamento usado"/>
    <n v="1755"/>
    <n v="30"/>
    <n v="4.9800000000000004"/>
    <n v="80"/>
    <n v="350.99999999999994"/>
    <n v="7.5198236270295604"/>
    <n v="28.2"/>
    <n v="26.66604123060128"/>
    <x v="2"/>
  </r>
  <r>
    <s v="HIP-100478"/>
    <s v="2025-09-04"/>
    <s v="Iquique"/>
    <x v="8"/>
    <s v="T. Núñez"/>
    <x v="4"/>
    <s v="Departamento nuevo"/>
    <n v="16774"/>
    <n v="30"/>
    <n v="5.19"/>
    <n v="85"/>
    <n v="2516.1000000000004"/>
    <n v="78.203625577942304"/>
    <n v="200.1"/>
    <n v="39.082271653144581"/>
    <x v="2"/>
  </r>
  <r>
    <s v="HIP-100479"/>
    <s v="2025-01-09"/>
    <s v="Puerto Montt"/>
    <x v="10"/>
    <s v="A. Rojas"/>
    <x v="2"/>
    <s v="Casa nueva"/>
    <n v="13877"/>
    <n v="20"/>
    <n v="5.04"/>
    <n v="80"/>
    <n v="2775.3999999999992"/>
    <n v="73.511178751835288"/>
    <n v="181.3"/>
    <n v="40.546706426825857"/>
    <x v="2"/>
  </r>
  <r>
    <s v="HIP-100480"/>
    <s v="2025-03-05"/>
    <s v="Antofagasta"/>
    <x v="7"/>
    <s v="S. Bravo"/>
    <x v="2"/>
    <s v="Casa usada"/>
    <n v="13151"/>
    <n v="25"/>
    <n v="5.53"/>
    <n v="75"/>
    <n v="3287.75"/>
    <n v="60.745819866435163"/>
    <n v="182.6"/>
    <n v="33.267152172198884"/>
    <x v="2"/>
  </r>
  <r>
    <s v="HIP-100481"/>
    <s v="2025-02-27"/>
    <s v="Las Condes"/>
    <x v="0"/>
    <s v="P. Vega"/>
    <x v="4"/>
    <s v="Casa nueva"/>
    <n v="1611"/>
    <n v="30"/>
    <n v="4.57"/>
    <n v="75"/>
    <n v="402.75"/>
    <n v="6.1723817093300912"/>
    <n v="20.6"/>
    <n v="29.963018006456753"/>
    <x v="2"/>
  </r>
  <r>
    <s v="HIP-100482"/>
    <s v="2025-06-25"/>
    <s v="La Florida"/>
    <x v="0"/>
    <s v="M. Silva"/>
    <x v="1"/>
    <s v="Casa nueva"/>
    <n v="17332"/>
    <n v="30"/>
    <n v="5.79"/>
    <n v="80"/>
    <n v="3466.3999999999992"/>
    <n v="81.268553251516579"/>
    <n v="236.9"/>
    <n v="34.305003483122235"/>
    <x v="2"/>
  </r>
  <r>
    <s v="HIP-100483"/>
    <s v="2025-04-20"/>
    <s v="Valparaíso"/>
    <x v="2"/>
    <s v="R. Pinto"/>
    <x v="4"/>
    <s v="Departamento usado"/>
    <n v="5763"/>
    <n v="20"/>
    <n v="4.25"/>
    <n v="80"/>
    <n v="1152.5999999999997"/>
    <n v="28.549185966826577"/>
    <n v="64"/>
    <n v="44.608103073166525"/>
    <x v="2"/>
  </r>
  <r>
    <s v="HIP-100484"/>
    <s v="2025-03-27"/>
    <s v="Iquique"/>
    <x v="8"/>
    <s v="M. Silva"/>
    <x v="3"/>
    <s v="Casa nueva"/>
    <n v="12104"/>
    <n v="25"/>
    <n v="4.18"/>
    <n v="80"/>
    <n v="2420.7999999999993"/>
    <n v="52.07878390374303"/>
    <n v="184.4"/>
    <n v="28.242290620251097"/>
    <x v="0"/>
  </r>
  <r>
    <s v="HIP-100485"/>
    <s v="2025-09-23"/>
    <s v="Concepción"/>
    <x v="1"/>
    <s v="A. Rojas"/>
    <x v="4"/>
    <s v="Departamento usado"/>
    <n v="16291"/>
    <n v="30"/>
    <n v="4.42"/>
    <n v="80"/>
    <n v="3258.1999999999994"/>
    <n v="65.417227863570673"/>
    <n v="263.60000000000002"/>
    <n v="24.816854272978251"/>
    <x v="2"/>
  </r>
  <r>
    <s v="HIP-100486"/>
    <s v="2025-09-13"/>
    <s v="Chillán"/>
    <x v="11"/>
    <s v="L. Muñoz"/>
    <x v="4"/>
    <s v="Casa nueva"/>
    <n v="10867"/>
    <n v="15"/>
    <n v="5.42"/>
    <n v="80"/>
    <n v="2173.3999999999996"/>
    <n v="70.665443200840002"/>
    <n v="148.4"/>
    <n v="47.618223181159031"/>
    <x v="2"/>
  </r>
  <r>
    <s v="HIP-100487"/>
    <s v="2025-06-27"/>
    <s v="Valdivia"/>
    <x v="5"/>
    <s v="S. Bravo"/>
    <x v="3"/>
    <s v="Casa usada"/>
    <n v="15521"/>
    <n v="20"/>
    <n v="4.63"/>
    <n v="85"/>
    <n v="2328.1500000000005"/>
    <n v="84.393103808240113"/>
    <n v="167.2"/>
    <n v="50.474344382918737"/>
    <x v="2"/>
  </r>
  <r>
    <s v="HIP-100488"/>
    <s v="2025-09-11"/>
    <s v="Maipú"/>
    <x v="0"/>
    <s v="A. Rojas"/>
    <x v="0"/>
    <s v="Casa nueva"/>
    <n v="17312"/>
    <n v="30"/>
    <n v="4.96"/>
    <n v="90"/>
    <n v="1731.1999999999996"/>
    <n v="83.260625457710503"/>
    <n v="253.5"/>
    <n v="32.84442818844596"/>
    <x v="2"/>
  </r>
  <r>
    <s v="HIP-100489"/>
    <s v="2025-12-12"/>
    <s v="Valdivia"/>
    <x v="5"/>
    <s v="A. Rojas"/>
    <x v="1"/>
    <s v="Casa nueva"/>
    <n v="6194"/>
    <n v="20"/>
    <n v="5.14"/>
    <n v="85"/>
    <n v="929.10000000000014"/>
    <n v="35.154479735882688"/>
    <n v="93"/>
    <n v="37.80051584503515"/>
    <x v="2"/>
  </r>
  <r>
    <s v="HIP-100490"/>
    <s v="2025-12-01"/>
    <s v="Santiago Centro"/>
    <x v="0"/>
    <s v="L. Muñoz"/>
    <x v="0"/>
    <s v="Departamento usado"/>
    <n v="3957"/>
    <n v="30"/>
    <n v="3.99"/>
    <n v="75"/>
    <n v="989.25"/>
    <n v="14.151388319505548"/>
    <n v="59.7"/>
    <n v="23.704168039372775"/>
    <x v="2"/>
  </r>
  <r>
    <s v="HIP-100491"/>
    <s v="2025-07-19"/>
    <s v="La Florida"/>
    <x v="0"/>
    <s v="V. Morales"/>
    <x v="3"/>
    <s v="Casa nueva"/>
    <n v="16294"/>
    <n v="15"/>
    <n v="3.94"/>
    <n v="80"/>
    <n v="3258.7999999999993"/>
    <n v="96.028335370228106"/>
    <n v="223.4"/>
    <n v="42.984930783450359"/>
    <x v="2"/>
  </r>
  <r>
    <s v="HIP-100492"/>
    <s v="2025-08-16"/>
    <s v="Chillán"/>
    <x v="11"/>
    <s v="S. Bravo"/>
    <x v="1"/>
    <s v="Departamento usado"/>
    <n v="17425"/>
    <n v="20"/>
    <n v="5.46"/>
    <n v="70"/>
    <n v="5227.5000000000009"/>
    <n v="83.629728523057253"/>
    <n v="315.89999999999998"/>
    <n v="26.473481647058328"/>
    <x v="2"/>
  </r>
  <r>
    <s v="HIP-100493"/>
    <s v="2025-01-20"/>
    <s v="Arica"/>
    <x v="4"/>
    <s v="D. Araya"/>
    <x v="3"/>
    <s v="Casa nueva"/>
    <n v="3000"/>
    <n v="30"/>
    <n v="5.56"/>
    <n v="90"/>
    <n v="299.99999999999994"/>
    <n v="15.432098287744228"/>
    <n v="32.799999999999997"/>
    <n v="47.049080145561675"/>
    <x v="2"/>
  </r>
  <r>
    <s v="HIP-100494"/>
    <s v="2025-11-08"/>
    <s v="Puerto Montt"/>
    <x v="10"/>
    <s v="L. Muñoz"/>
    <x v="3"/>
    <s v="Departamento usado"/>
    <n v="15213"/>
    <n v="15"/>
    <n v="5.56"/>
    <n v="90"/>
    <n v="1521.2999999999997"/>
    <n v="112.30902397803727"/>
    <n v="182.2"/>
    <n v="61.640518099910693"/>
    <x v="1"/>
  </r>
  <r>
    <s v="HIP-100495"/>
    <s v="2025-12-22"/>
    <s v="Concepción"/>
    <x v="1"/>
    <s v="G. Herrera"/>
    <x v="0"/>
    <s v="Departamento nuevo"/>
    <n v="16307"/>
    <n v="25"/>
    <n v="5.44"/>
    <n v="80"/>
    <n v="3261.3999999999992"/>
    <n v="79.644626757748767"/>
    <n v="256"/>
    <n v="31.111182327245611"/>
    <x v="3"/>
  </r>
  <r>
    <s v="HIP-100496"/>
    <s v="2025-08-17"/>
    <s v="Maipú"/>
    <x v="0"/>
    <s v="G. Herrera"/>
    <x v="4"/>
    <s v="Departamento usado"/>
    <n v="8979"/>
    <n v="20"/>
    <n v="5.57"/>
    <n v="85"/>
    <n v="1346.8500000000001"/>
    <n v="52.802792268552729"/>
    <n v="160.69999999999999"/>
    <n v="32.857991455228827"/>
    <x v="1"/>
  </r>
  <r>
    <s v="HIP-100497"/>
    <s v="2025-02-05"/>
    <s v="La Florida"/>
    <x v="0"/>
    <s v="V. Morales"/>
    <x v="4"/>
    <s v="Departamento nuevo"/>
    <n v="2156"/>
    <n v="30"/>
    <n v="5.22"/>
    <n v="80"/>
    <n v="431.19999999999993"/>
    <n v="9.4923856008602865"/>
    <n v="35.9"/>
    <n v="26.441185517716676"/>
    <x v="2"/>
  </r>
  <r>
    <s v="HIP-100498"/>
    <s v="2025-08-12"/>
    <s v="Valparaíso"/>
    <x v="2"/>
    <s v="T. Núñez"/>
    <x v="1"/>
    <s v="Departamento nuevo"/>
    <n v="10896"/>
    <n v="20"/>
    <n v="5.35"/>
    <n v="75"/>
    <n v="2724"/>
    <n v="55.524077772580021"/>
    <n v="181.8"/>
    <n v="30.541296904609471"/>
    <x v="2"/>
  </r>
  <r>
    <s v="HIP-100499"/>
    <s v="2025-07-25"/>
    <s v="Chillán"/>
    <x v="11"/>
    <s v="R. Pinto"/>
    <x v="3"/>
    <s v="Departamento nuevo"/>
    <n v="2781"/>
    <n v="25"/>
    <n v="5.15"/>
    <n v="70"/>
    <n v="834.30000000000007"/>
    <n v="11.550990309973095"/>
    <n v="45.7"/>
    <n v="25.275689956177448"/>
    <x v="2"/>
  </r>
  <r>
    <s v="HIP-100500"/>
    <s v="2025-03-27"/>
    <s v="Viña del Mar"/>
    <x v="2"/>
    <s v="B. Reyes"/>
    <x v="2"/>
    <s v="Casa nueva"/>
    <n v="5611"/>
    <n v="20"/>
    <n v="4.8499999999999996"/>
    <n v="80"/>
    <n v="1122.1999999999998"/>
    <n v="29.253402512185193"/>
    <n v="64.5"/>
    <n v="45.354112421992546"/>
    <x v="2"/>
  </r>
  <r>
    <s v="HIP-100501"/>
    <s v="2025-02-08"/>
    <s v="Talca"/>
    <x v="9"/>
    <s v="J. Cáceres"/>
    <x v="2"/>
    <s v="Casa usada"/>
    <n v="12978"/>
    <n v="25"/>
    <n v="5.13"/>
    <n v="90"/>
    <n v="1297.7999999999997"/>
    <n v="69.168874226095326"/>
    <n v="219.6"/>
    <n v="31.497665858877653"/>
    <x v="2"/>
  </r>
  <r>
    <s v="HIP-100502"/>
    <s v="2025-03-12"/>
    <s v="Talca"/>
    <x v="9"/>
    <s v="E. Castro"/>
    <x v="3"/>
    <s v="Casa nueva"/>
    <n v="16472"/>
    <n v="30"/>
    <n v="4"/>
    <n v="85"/>
    <n v="2470.8000000000002"/>
    <n v="66.843870348709913"/>
    <n v="187"/>
    <n v="35.745385213213858"/>
    <x v="2"/>
  </r>
  <r>
    <s v="HIP-100503"/>
    <s v="2025-05-28"/>
    <s v="Providencia"/>
    <x v="0"/>
    <s v="L. Muñoz"/>
    <x v="0"/>
    <s v="Casa nueva"/>
    <n v="17795"/>
    <n v="30"/>
    <n v="4.0999999999999996"/>
    <n v="70"/>
    <n v="5338.5000000000009"/>
    <n v="60.189605096381385"/>
    <n v="233.5"/>
    <n v="25.77713280358946"/>
    <x v="2"/>
  </r>
  <r>
    <s v="HIP-100504"/>
    <s v="2025-06-15"/>
    <s v="Copiapó"/>
    <x v="13"/>
    <s v="N. Fuentes"/>
    <x v="2"/>
    <s v="Departamento nuevo"/>
    <n v="7746"/>
    <n v="20"/>
    <n v="5.08"/>
    <n v="80"/>
    <n v="1549.1999999999996"/>
    <n v="41.170492206243523"/>
    <n v="106.2"/>
    <n v="38.766941813788627"/>
    <x v="2"/>
  </r>
  <r>
    <s v="HIP-100505"/>
    <s v="2025-07-02"/>
    <s v="Iquique"/>
    <x v="8"/>
    <s v="B. Reyes"/>
    <x v="2"/>
    <s v="Casa nueva"/>
    <n v="14911"/>
    <n v="25"/>
    <n v="4.79"/>
    <n v="75"/>
    <n v="3727.75"/>
    <n v="64.015209081848298"/>
    <n v="233.5"/>
    <n v="27.41550710143396"/>
    <x v="2"/>
  </r>
  <r>
    <s v="HIP-100506"/>
    <s v="2025-01-24"/>
    <s v="Maipú"/>
    <x v="0"/>
    <s v="F. Soto"/>
    <x v="4"/>
    <s v="Departamento nuevo"/>
    <n v="17854"/>
    <n v="25"/>
    <n v="4.38"/>
    <n v="90"/>
    <n v="1785.3999999999996"/>
    <n v="88.223561855873029"/>
    <n v="210.9"/>
    <n v="41.831940187706508"/>
    <x v="2"/>
  </r>
  <r>
    <s v="HIP-100507"/>
    <s v="2025-05-08"/>
    <s v="Chillán"/>
    <x v="11"/>
    <s v="J. Cáceres"/>
    <x v="0"/>
    <s v="Departamento nuevo"/>
    <n v="3573"/>
    <n v="30"/>
    <n v="5.15"/>
    <n v="80"/>
    <n v="714.5999999999998"/>
    <n v="15.607613638810461"/>
    <n v="40"/>
    <n v="39.01903409702615"/>
    <x v="2"/>
  </r>
  <r>
    <s v="HIP-100508"/>
    <s v="2025-02-01"/>
    <s v="Talca"/>
    <x v="9"/>
    <s v="A. Rojas"/>
    <x v="3"/>
    <s v="Departamento nuevo"/>
    <n v="9488"/>
    <n v="20"/>
    <n v="4.1399999999999997"/>
    <n v="70"/>
    <n v="2846.4000000000005"/>
    <n v="40.738429340165361"/>
    <n v="129.1"/>
    <n v="31.555715987734594"/>
    <x v="0"/>
  </r>
  <r>
    <s v="HIP-100509"/>
    <s v="2025-07-23"/>
    <s v="Talcahuano"/>
    <x v="1"/>
    <s v="N. Fuentes"/>
    <x v="3"/>
    <s v="Casa nueva"/>
    <n v="11068"/>
    <n v="30"/>
    <n v="4.93"/>
    <n v="90"/>
    <n v="1106.7999999999997"/>
    <n v="53.048538257318761"/>
    <n v="144.1"/>
    <n v="36.813697610908228"/>
    <x v="2"/>
  </r>
  <r>
    <s v="HIP-100510"/>
    <s v="2025-07-08"/>
    <s v="Talcahuano"/>
    <x v="1"/>
    <s v="L. Muñoz"/>
    <x v="2"/>
    <s v="Casa usada"/>
    <n v="8276"/>
    <n v="30"/>
    <n v="5.4"/>
    <n v="85"/>
    <n v="1241.4000000000001"/>
    <n v="39.501445084859895"/>
    <n v="94.9"/>
    <n v="41.624283545690091"/>
    <x v="2"/>
  </r>
  <r>
    <s v="HIP-100511"/>
    <s v="2025-08-08"/>
    <s v="Talca"/>
    <x v="9"/>
    <s v="M. Silva"/>
    <x v="1"/>
    <s v="Departamento nuevo"/>
    <n v="11036"/>
    <n v="20"/>
    <n v="4.8099999999999996"/>
    <n v="80"/>
    <n v="2207.1999999999994"/>
    <n v="57.343496993312861"/>
    <n v="165.6"/>
    <n v="34.627715575672021"/>
    <x v="3"/>
  </r>
  <r>
    <s v="HIP-100512"/>
    <s v="2025-02-28"/>
    <s v="Chillán"/>
    <x v="11"/>
    <s v="P. Vega"/>
    <x v="4"/>
    <s v="Departamento nuevo"/>
    <n v="6993"/>
    <n v="20"/>
    <n v="3.99"/>
    <n v="90"/>
    <n v="699.29999999999984"/>
    <n v="38.10542863491753"/>
    <n v="109.3"/>
    <n v="34.863155201205423"/>
    <x v="2"/>
  </r>
  <r>
    <s v="HIP-100513"/>
    <s v="2025-05-11"/>
    <s v="Las Condes"/>
    <x v="0"/>
    <s v="P. Vega"/>
    <x v="4"/>
    <s v="Departamento nuevo"/>
    <n v="7227"/>
    <n v="15"/>
    <n v="4.83"/>
    <n v="90"/>
    <n v="722.69999999999982"/>
    <n v="50.8614344690697"/>
    <n v="104.4"/>
    <n v="48.717849108304307"/>
    <x v="2"/>
  </r>
  <r>
    <s v="HIP-100514"/>
    <s v="2025-02-05"/>
    <s v="Las Condes"/>
    <x v="0"/>
    <s v="G. Herrera"/>
    <x v="4"/>
    <s v="Departamento nuevo"/>
    <n v="5329"/>
    <n v="30"/>
    <n v="4.4400000000000004"/>
    <n v="90"/>
    <n v="532.89999999999986"/>
    <n v="24.130449753826241"/>
    <n v="80.099999999999994"/>
    <n v="30.125405435488446"/>
    <x v="3"/>
  </r>
  <r>
    <s v="HIP-100515"/>
    <s v="2025-12-17"/>
    <s v="Concepción"/>
    <x v="1"/>
    <s v="F. Soto"/>
    <x v="1"/>
    <s v="Casa nueva"/>
    <n v="4381"/>
    <n v="20"/>
    <n v="4.12"/>
    <n v="80"/>
    <n v="876.19999999999982"/>
    <n v="21.460667248502105"/>
    <n v="46.8"/>
    <n v="45.856126599363471"/>
    <x v="2"/>
  </r>
  <r>
    <s v="HIP-100516"/>
    <s v="2025-02-13"/>
    <s v="La Serena"/>
    <x v="6"/>
    <s v="J. Cáceres"/>
    <x v="4"/>
    <s v="Departamento usado"/>
    <n v="15418"/>
    <n v="25"/>
    <n v="5.73"/>
    <n v="85"/>
    <n v="2312.7000000000003"/>
    <n v="82.287964921989328"/>
    <n v="198.8"/>
    <n v="41.392336479873904"/>
    <x v="3"/>
  </r>
  <r>
    <s v="HIP-100517"/>
    <s v="2025-12-02"/>
    <s v="Antofagasta"/>
    <x v="7"/>
    <s v="P. Vega"/>
    <x v="4"/>
    <s v="Casa nueva"/>
    <n v="17796"/>
    <n v="20"/>
    <n v="4.25"/>
    <n v="80"/>
    <n v="3559.1999999999994"/>
    <n v="88.159172907451989"/>
    <n v="246.1"/>
    <n v="35.822500165563589"/>
    <x v="0"/>
  </r>
  <r>
    <s v="HIP-100518"/>
    <s v="2025-11-17"/>
    <s v="Valparaíso"/>
    <x v="2"/>
    <s v="B. Reyes"/>
    <x v="3"/>
    <s v="Casa nueva"/>
    <n v="6962"/>
    <n v="30"/>
    <n v="4.68"/>
    <n v="75"/>
    <n v="1740.5"/>
    <n v="27.017940786395698"/>
    <n v="82.1"/>
    <n v="32.908575866499021"/>
    <x v="2"/>
  </r>
  <r>
    <s v="HIP-100519"/>
    <s v="2025-08-13"/>
    <s v="Rancagua"/>
    <x v="12"/>
    <s v="J. Cáceres"/>
    <x v="2"/>
    <s v="Casa nueva"/>
    <n v="12399"/>
    <n v="20"/>
    <n v="4.24"/>
    <n v="90"/>
    <n v="1239.8999999999996"/>
    <n v="69.041486456837163"/>
    <n v="195.9"/>
    <n v="35.243229431769862"/>
    <x v="2"/>
  </r>
  <r>
    <s v="HIP-100520"/>
    <s v="2025-09-18"/>
    <s v="La Serena"/>
    <x v="6"/>
    <s v="N. Fuentes"/>
    <x v="3"/>
    <s v="Departamento usado"/>
    <n v="14738"/>
    <n v="25"/>
    <n v="4.6900000000000004"/>
    <n v="75"/>
    <n v="3684.5"/>
    <n v="62.637062832076118"/>
    <n v="170.8"/>
    <n v="36.672753414564468"/>
    <x v="3"/>
  </r>
  <r>
    <s v="HIP-100521"/>
    <s v="2025-12-26"/>
    <s v="Arica"/>
    <x v="4"/>
    <s v="R. Pinto"/>
    <x v="1"/>
    <s v="Departamento usado"/>
    <n v="2101"/>
    <n v="25"/>
    <n v="4.8"/>
    <n v="90"/>
    <n v="210.09999999999997"/>
    <n v="10.834799555722189"/>
    <n v="24.3"/>
    <n v="44.587652492683901"/>
    <x v="1"/>
  </r>
  <r>
    <s v="HIP-100522"/>
    <s v="2025-09-04"/>
    <s v="Santiago Centro"/>
    <x v="0"/>
    <s v="B. Reyes"/>
    <x v="0"/>
    <s v="Departamento usado"/>
    <n v="11996"/>
    <n v="30"/>
    <n v="4"/>
    <n v="75"/>
    <n v="2999"/>
    <n v="42.953054133027386"/>
    <n v="167.6"/>
    <n v="25.628313921854051"/>
    <x v="2"/>
  </r>
  <r>
    <s v="HIP-100523"/>
    <s v="2025-05-24"/>
    <s v="Puerto Montt"/>
    <x v="10"/>
    <s v="S. Bravo"/>
    <x v="2"/>
    <s v="Casa nueva"/>
    <n v="17163"/>
    <n v="30"/>
    <n v="5.44"/>
    <n v="85"/>
    <n v="2574.4500000000003"/>
    <n v="82.283834164579005"/>
    <n v="227.7"/>
    <n v="36.136949567228378"/>
    <x v="1"/>
  </r>
  <r>
    <s v="HIP-100524"/>
    <s v="2025-10-14"/>
    <s v="Las Condes"/>
    <x v="0"/>
    <s v="S. Bravo"/>
    <x v="2"/>
    <s v="Departamento nuevo"/>
    <n v="14302"/>
    <n v="25"/>
    <n v="3.93"/>
    <n v="90"/>
    <n v="1430.1999999999996"/>
    <n v="67.445585227392584"/>
    <n v="188"/>
    <n v="35.87531129116627"/>
    <x v="2"/>
  </r>
  <r>
    <s v="HIP-100525"/>
    <s v="2025-09-09"/>
    <s v="Antofagasta"/>
    <x v="7"/>
    <s v="F. Soto"/>
    <x v="0"/>
    <s v="Departamento nuevo"/>
    <n v="6522"/>
    <n v="20"/>
    <n v="4.3099999999999996"/>
    <n v="90"/>
    <n v="652.19999999999982"/>
    <n v="36.535950101129593"/>
    <n v="95.7"/>
    <n v="38.177586312570106"/>
    <x v="3"/>
  </r>
  <r>
    <s v="HIP-100526"/>
    <s v="2025-04-22"/>
    <s v="Chillán"/>
    <x v="11"/>
    <s v="F. Soto"/>
    <x v="3"/>
    <s v="Casa nueva"/>
    <n v="7049"/>
    <n v="15"/>
    <n v="5.03"/>
    <n v="80"/>
    <n v="1409.7999999999997"/>
    <n v="44.682611161362907"/>
    <n v="100.9"/>
    <n v="44.284054669338857"/>
    <x v="2"/>
  </r>
  <r>
    <s v="HIP-100527"/>
    <s v="2025-05-26"/>
    <s v="Santiago Centro"/>
    <x v="0"/>
    <s v="D. Araya"/>
    <x v="2"/>
    <s v="Casa usada"/>
    <n v="13112"/>
    <n v="25"/>
    <n v="4.1500000000000004"/>
    <n v="80"/>
    <n v="2622.3999999999996"/>
    <n v="56.240439365355869"/>
    <n v="208.4"/>
    <n v="26.98677512733007"/>
    <x v="2"/>
  </r>
  <r>
    <s v="HIP-100528"/>
    <s v="2025-08-15"/>
    <s v="La Florida"/>
    <x v="0"/>
    <s v="P. Vega"/>
    <x v="3"/>
    <s v="Casa nueva"/>
    <n v="17586"/>
    <n v="20"/>
    <n v="5.41"/>
    <n v="80"/>
    <n v="3517.1999999999994"/>
    <n v="96.063744045337657"/>
    <n v="238"/>
    <n v="40.36291766610826"/>
    <x v="1"/>
  </r>
  <r>
    <s v="HIP-100529"/>
    <s v="2025-07-06"/>
    <s v="Rancagua"/>
    <x v="12"/>
    <s v="A. Rojas"/>
    <x v="2"/>
    <s v="Departamento usado"/>
    <n v="15233"/>
    <n v="30"/>
    <n v="4.34"/>
    <n v="85"/>
    <n v="2284.9500000000003"/>
    <n v="64.380685258834177"/>
    <n v="185.5"/>
    <n v="34.706568872686887"/>
    <x v="2"/>
  </r>
  <r>
    <s v="HIP-100530"/>
    <s v="2025-01-17"/>
    <s v="La Florida"/>
    <x v="0"/>
    <s v="B. Reyes"/>
    <x v="4"/>
    <s v="Departamento nuevo"/>
    <n v="15720"/>
    <n v="15"/>
    <n v="4.08"/>
    <n v="90"/>
    <n v="1571.9999999999995"/>
    <n v="105.21914419796072"/>
    <n v="170.1"/>
    <n v="61.857227629606534"/>
    <x v="2"/>
  </r>
  <r>
    <s v="HIP-100531"/>
    <s v="2025-10-19"/>
    <s v="Maipú"/>
    <x v="0"/>
    <s v="L. Muñoz"/>
    <x v="4"/>
    <s v="Casa nueva"/>
    <n v="9612"/>
    <n v="20"/>
    <n v="4.1399999999999997"/>
    <n v="90"/>
    <n v="961.19999999999982"/>
    <n v="53.06251573956613"/>
    <n v="141.9"/>
    <n v="37.394302846769648"/>
    <x v="1"/>
  </r>
  <r>
    <s v="HIP-100532"/>
    <s v="2025-07-27"/>
    <s v="Santiago Centro"/>
    <x v="0"/>
    <s v="F. Soto"/>
    <x v="2"/>
    <s v="Casa nueva"/>
    <n v="11866"/>
    <n v="30"/>
    <n v="4.0999999999999996"/>
    <n v="80"/>
    <n v="2373.1999999999994"/>
    <n v="45.869054972016954"/>
    <n v="136.69999999999999"/>
    <n v="33.5545391163255"/>
    <x v="3"/>
  </r>
  <r>
    <s v="HIP-100533"/>
    <s v="2025-12-18"/>
    <s v="Maipú"/>
    <x v="0"/>
    <s v="T. Núñez"/>
    <x v="0"/>
    <s v="Casa nueva"/>
    <n v="12321"/>
    <n v="20"/>
    <n v="4.2699999999999996"/>
    <n v="80"/>
    <n v="2464.1999999999994"/>
    <n v="61.141904269120573"/>
    <n v="194.2"/>
    <n v="31.483987780185675"/>
    <x v="2"/>
  </r>
  <r>
    <s v="HIP-100534"/>
    <s v="2025-04-11"/>
    <s v="Valdivia"/>
    <x v="5"/>
    <s v="E. Castro"/>
    <x v="3"/>
    <s v="Casa usada"/>
    <n v="7614"/>
    <n v="15"/>
    <n v="5.66"/>
    <n v="80"/>
    <n v="1522.7999999999997"/>
    <n v="50.28886322002483"/>
    <n v="91.5"/>
    <n v="54.960506251393262"/>
    <x v="2"/>
  </r>
  <r>
    <s v="HIP-100535"/>
    <s v="2025-02-12"/>
    <s v="Concepción"/>
    <x v="1"/>
    <s v="S. Bravo"/>
    <x v="4"/>
    <s v="Casa usada"/>
    <n v="7250"/>
    <n v="20"/>
    <n v="4.4000000000000004"/>
    <n v="85"/>
    <n v="1087.5000000000002"/>
    <n v="38.655157001529417"/>
    <n v="79.900000000000006"/>
    <n v="48.379420527571234"/>
    <x v="1"/>
  </r>
  <r>
    <s v="HIP-100536"/>
    <s v="2025-09-15"/>
    <s v="Antofagasta"/>
    <x v="7"/>
    <s v="B. Reyes"/>
    <x v="2"/>
    <s v="Casa usada"/>
    <n v="5305"/>
    <n v="30"/>
    <n v="4.03"/>
    <n v="70"/>
    <n v="1591.5000000000002"/>
    <n v="17.793103473675664"/>
    <n v="67.5"/>
    <n v="26.360153294334314"/>
    <x v="2"/>
  </r>
  <r>
    <s v="HIP-100537"/>
    <s v="2025-05-05"/>
    <s v="Viña del Mar"/>
    <x v="2"/>
    <s v="D. Araya"/>
    <x v="2"/>
    <s v="Departamento nuevo"/>
    <n v="17824"/>
    <n v="25"/>
    <n v="5.63"/>
    <n v="75"/>
    <n v="4456"/>
    <n v="83.132271467938594"/>
    <n v="220.4"/>
    <n v="37.718816455507529"/>
    <x v="2"/>
  </r>
  <r>
    <s v="HIP-100538"/>
    <s v="2025-02-17"/>
    <s v="Puerto Montt"/>
    <x v="10"/>
    <s v="S. Bravo"/>
    <x v="1"/>
    <s v="Casa nueva"/>
    <n v="8636"/>
    <n v="15"/>
    <n v="4.5999999999999996"/>
    <n v="75"/>
    <n v="2159"/>
    <n v="49.880279060993395"/>
    <n v="132.30000000000001"/>
    <n v="37.702402918362345"/>
    <x v="2"/>
  </r>
  <r>
    <s v="HIP-100539"/>
    <s v="2025-12-22"/>
    <s v="Valdivia"/>
    <x v="5"/>
    <s v="B. Reyes"/>
    <x v="2"/>
    <s v="Departamento usado"/>
    <n v="15401"/>
    <n v="20"/>
    <n v="5.55"/>
    <n v="80"/>
    <n v="3080.1999999999994"/>
    <n v="85.101534509835332"/>
    <n v="239.5"/>
    <n v="35.532999795338341"/>
    <x v="2"/>
  </r>
  <r>
    <s v="HIP-100540"/>
    <s v="2025-06-01"/>
    <s v="Rancagua"/>
    <x v="12"/>
    <s v="G. Herrera"/>
    <x v="3"/>
    <s v="Departamento nuevo"/>
    <n v="15314"/>
    <n v="15"/>
    <n v="5.4"/>
    <n v="85"/>
    <n v="2297.1000000000004"/>
    <n v="105.66945107279767"/>
    <n v="199.7"/>
    <n v="52.914096681420972"/>
    <x v="2"/>
  </r>
  <r>
    <s v="HIP-100541"/>
    <s v="2025-07-07"/>
    <s v="La Serena"/>
    <x v="6"/>
    <s v="T. Núñez"/>
    <x v="3"/>
    <s v="Departamento usado"/>
    <n v="6135"/>
    <n v="25"/>
    <n v="3.9"/>
    <n v="70"/>
    <n v="1840.5000000000002"/>
    <n v="22.431503640789785"/>
    <n v="76.099999999999994"/>
    <n v="29.476351696175808"/>
    <x v="2"/>
  </r>
  <r>
    <s v="HIP-100542"/>
    <s v="2025-02-11"/>
    <s v="Copiapó"/>
    <x v="13"/>
    <s v="L. Muñoz"/>
    <x v="2"/>
    <s v="Casa nueva"/>
    <n v="1514"/>
    <n v="30"/>
    <n v="4.8499999999999996"/>
    <n v="90"/>
    <n v="151.39999999999998"/>
    <n v="7.1903288424819305"/>
    <n v="20.399999999999999"/>
    <n v="35.246710012166325"/>
    <x v="0"/>
  </r>
  <r>
    <s v="HIP-100543"/>
    <s v="2025-06-11"/>
    <s v="Santiago Centro"/>
    <x v="0"/>
    <s v="R. Pinto"/>
    <x v="2"/>
    <s v="Departamento nuevo"/>
    <n v="10531"/>
    <n v="25"/>
    <n v="4.4000000000000004"/>
    <n v="70"/>
    <n v="3159.3000000000006"/>
    <n v="40.557008531324158"/>
    <n v="126"/>
    <n v="32.188102008987428"/>
    <x v="2"/>
  </r>
  <r>
    <s v="HIP-100544"/>
    <s v="2025-08-09"/>
    <s v="Providencia"/>
    <x v="0"/>
    <s v="B. Reyes"/>
    <x v="1"/>
    <s v="Casa nueva"/>
    <n v="17301"/>
    <n v="30"/>
    <n v="4.13"/>
    <n v="70"/>
    <n v="5190.3000000000011"/>
    <n v="58.729661566458184"/>
    <n v="274.7"/>
    <n v="21.379563730053945"/>
    <x v="2"/>
  </r>
  <r>
    <s v="HIP-100545"/>
    <s v="2025-10-10"/>
    <s v="Chillán"/>
    <x v="11"/>
    <s v="P. Vega"/>
    <x v="0"/>
    <s v="Casa usada"/>
    <n v="9807"/>
    <n v="15"/>
    <n v="4.82"/>
    <n v="85"/>
    <n v="1471.0500000000002"/>
    <n v="65.141182856501146"/>
    <n v="165"/>
    <n v="39.479504761515841"/>
    <x v="0"/>
  </r>
  <r>
    <s v="HIP-100546"/>
    <s v="2025-11-09"/>
    <s v="Maipú"/>
    <x v="0"/>
    <s v="P. Vega"/>
    <x v="0"/>
    <s v="Casa usada"/>
    <n v="8987"/>
    <n v="25"/>
    <n v="4.7"/>
    <n v="75"/>
    <n v="2246.75"/>
    <n v="38.233749504127225"/>
    <n v="119.1"/>
    <n v="32.102224604640824"/>
    <x v="2"/>
  </r>
  <r>
    <s v="HIP-100547"/>
    <s v="2025-06-12"/>
    <s v="Valparaíso"/>
    <x v="2"/>
    <s v="F. Soto"/>
    <x v="3"/>
    <s v="Departamento usado"/>
    <n v="8114"/>
    <n v="30"/>
    <n v="4.46"/>
    <n v="80"/>
    <n v="1622.7999999999997"/>
    <n v="32.73586001204837"/>
    <n v="106.9"/>
    <n v="30.622881208651421"/>
    <x v="2"/>
  </r>
  <r>
    <s v="HIP-100548"/>
    <s v="2025-12-26"/>
    <s v="Providencia"/>
    <x v="0"/>
    <s v="M. Silva"/>
    <x v="3"/>
    <s v="Casa usada"/>
    <n v="5326"/>
    <n v="25"/>
    <n v="5.27"/>
    <n v="75"/>
    <n v="1331.5"/>
    <n v="23.984105838767459"/>
    <n v="65.400000000000006"/>
    <n v="36.672944707595498"/>
    <x v="2"/>
  </r>
  <r>
    <s v="HIP-100549"/>
    <s v="2025-01-26"/>
    <s v="Valdivia"/>
    <x v="5"/>
    <s v="L. Muñoz"/>
    <x v="4"/>
    <s v="Casa nueva"/>
    <n v="9172"/>
    <n v="20"/>
    <n v="5.29"/>
    <n v="80"/>
    <n v="1834.3999999999996"/>
    <n v="49.608098512140558"/>
    <n v="113.1"/>
    <n v="43.86215606732145"/>
    <x v="2"/>
  </r>
  <r>
    <s v="HIP-100550"/>
    <s v="2025-04-17"/>
    <s v="Talca"/>
    <x v="9"/>
    <s v="R. Pinto"/>
    <x v="4"/>
    <s v="Departamento usado"/>
    <n v="3829"/>
    <n v="20"/>
    <n v="5.51"/>
    <n v="80"/>
    <n v="765.79999999999984"/>
    <n v="21.088668658454633"/>
    <n v="44.6"/>
    <n v="47.284010444965546"/>
    <x v="2"/>
  </r>
  <r>
    <s v="HIP-100551"/>
    <s v="2025-05-07"/>
    <s v="La Florida"/>
    <x v="0"/>
    <s v="D. Araya"/>
    <x v="0"/>
    <s v="Casa usada"/>
    <n v="5312"/>
    <n v="20"/>
    <n v="5"/>
    <n v="80"/>
    <n v="1062.3999999999999"/>
    <n v="28.045479093751077"/>
    <n v="60.3"/>
    <n v="46.509915578359994"/>
    <x v="2"/>
  </r>
  <r>
    <s v="HIP-100552"/>
    <s v="2025-10-07"/>
    <s v="Temuco"/>
    <x v="3"/>
    <s v="G. Herrera"/>
    <x v="3"/>
    <s v="Casa usada"/>
    <n v="17675"/>
    <n v="25"/>
    <n v="5.48"/>
    <n v="70"/>
    <n v="5302.5000000000009"/>
    <n v="75.830270332677514"/>
    <n v="247.4"/>
    <n v="30.650877256539012"/>
    <x v="3"/>
  </r>
  <r>
    <s v="HIP-100553"/>
    <s v="2025-05-01"/>
    <s v="Santiago Centro"/>
    <x v="0"/>
    <s v="A. Rojas"/>
    <x v="2"/>
    <s v="Departamento usado"/>
    <n v="11599"/>
    <n v="25"/>
    <n v="4.88"/>
    <n v="75"/>
    <n v="2899.75"/>
    <n v="50.248598555586526"/>
    <n v="137.5"/>
    <n v="36.544435313153841"/>
    <x v="3"/>
  </r>
  <r>
    <s v="HIP-100554"/>
    <s v="2025-09-03"/>
    <s v="La Florida"/>
    <x v="0"/>
    <s v="S. Bravo"/>
    <x v="0"/>
    <s v="Casa nueva"/>
    <n v="11379"/>
    <n v="25"/>
    <n v="4.82"/>
    <n v="80"/>
    <n v="2275.7999999999993"/>
    <n v="52.266104801070995"/>
    <n v="143.1"/>
    <n v="36.524182250923126"/>
    <x v="2"/>
  </r>
  <r>
    <s v="HIP-100555"/>
    <s v="2025-10-20"/>
    <s v="Las Condes"/>
    <x v="0"/>
    <s v="C. Tapia"/>
    <x v="0"/>
    <s v="Departamento usado"/>
    <n v="6178"/>
    <n v="25"/>
    <n v="4.8899999999999997"/>
    <n v="80"/>
    <n v="1235.5999999999997"/>
    <n v="28.576912476641354"/>
    <n v="109.4"/>
    <n v="26.12149220899575"/>
    <x v="2"/>
  </r>
  <r>
    <s v="HIP-100556"/>
    <s v="2025-08-22"/>
    <s v="Santiago Centro"/>
    <x v="0"/>
    <s v="M. Silva"/>
    <x v="3"/>
    <s v="Departamento usado"/>
    <n v="14580"/>
    <n v="25"/>
    <n v="4.9800000000000004"/>
    <n v="80"/>
    <n v="2915.9999999999995"/>
    <n v="68.050736513229623"/>
    <n v="212.4"/>
    <n v="32.038953160654252"/>
    <x v="3"/>
  </r>
  <r>
    <s v="HIP-100557"/>
    <s v="2025-01-09"/>
    <s v="Maipú"/>
    <x v="0"/>
    <s v="S. Bravo"/>
    <x v="0"/>
    <s v="Departamento nuevo"/>
    <n v="14048"/>
    <n v="20"/>
    <n v="5.15"/>
    <n v="75"/>
    <n v="3512"/>
    <n v="70.408941828652488"/>
    <n v="226.8"/>
    <n v="31.044506979123671"/>
    <x v="1"/>
  </r>
  <r>
    <s v="HIP-100558"/>
    <s v="2025-12-17"/>
    <s v="Antofagasta"/>
    <x v="7"/>
    <s v="B. Reyes"/>
    <x v="0"/>
    <s v="Departamento nuevo"/>
    <n v="7262"/>
    <n v="20"/>
    <n v="4.5"/>
    <n v="85"/>
    <n v="1089.3000000000002"/>
    <n v="39.051548045929614"/>
    <n v="118.9"/>
    <n v="32.844026952001357"/>
    <x v="2"/>
  </r>
  <r>
    <s v="HIP-100559"/>
    <s v="2025-12-24"/>
    <s v="Antofagasta"/>
    <x v="7"/>
    <s v="V. Morales"/>
    <x v="4"/>
    <s v="Casa usada"/>
    <n v="6492"/>
    <n v="25"/>
    <n v="4.49"/>
    <n v="85"/>
    <n v="973.80000000000018"/>
    <n v="30.640634744950088"/>
    <n v="80.900000000000006"/>
    <n v="37.874703022187994"/>
    <x v="2"/>
  </r>
  <r>
    <s v="HIP-100560"/>
    <s v="2025-09-16"/>
    <s v="Providencia"/>
    <x v="0"/>
    <s v="B. Reyes"/>
    <x v="0"/>
    <s v="Departamento usado"/>
    <n v="2944"/>
    <n v="20"/>
    <n v="5.34"/>
    <n v="80"/>
    <n v="588.79999999999984"/>
    <n v="15.989027910781697"/>
    <n v="41.1"/>
    <n v="38.902744308471284"/>
    <x v="2"/>
  </r>
  <r>
    <s v="HIP-100561"/>
    <s v="2025-05-10"/>
    <s v="Viña del Mar"/>
    <x v="2"/>
    <s v="L. Muñoz"/>
    <x v="3"/>
    <s v="Departamento nuevo"/>
    <n v="4094"/>
    <n v="30"/>
    <n v="5.65"/>
    <n v="90"/>
    <n v="409.39999999999992"/>
    <n v="21.268829904001748"/>
    <n v="48.9"/>
    <n v="43.49453968098517"/>
    <x v="0"/>
  </r>
  <r>
    <s v="HIP-100562"/>
    <s v="2025-06-04"/>
    <s v="Copiapó"/>
    <x v="13"/>
    <s v="M. Silva"/>
    <x v="3"/>
    <s v="Departamento usado"/>
    <n v="15444"/>
    <n v="20"/>
    <n v="5.22"/>
    <n v="85"/>
    <n v="2316.6000000000004"/>
    <n v="88.238359788753201"/>
    <n v="167.1"/>
    <n v="52.805720998655417"/>
    <x v="2"/>
  </r>
  <r>
    <s v="HIP-100563"/>
    <s v="2025-11-09"/>
    <s v="Rancagua"/>
    <x v="12"/>
    <s v="E. Castro"/>
    <x v="0"/>
    <s v="Casa nueva"/>
    <n v="7171"/>
    <n v="15"/>
    <n v="4.55"/>
    <n v="80"/>
    <n v="1434.1999999999996"/>
    <n v="44.032873543808144"/>
    <n v="99.7"/>
    <n v="44.165369652766437"/>
    <x v="3"/>
  </r>
  <r>
    <s v="HIP-100564"/>
    <s v="2025-06-25"/>
    <s v="Valdivia"/>
    <x v="5"/>
    <s v="C. Tapia"/>
    <x v="1"/>
    <s v="Casa usada"/>
    <n v="10617"/>
    <n v="25"/>
    <n v="5.03"/>
    <n v="70"/>
    <n v="3185.1000000000004"/>
    <n v="43.576146786062985"/>
    <n v="154"/>
    <n v="28.29619921172921"/>
    <x v="2"/>
  </r>
  <r>
    <s v="HIP-100565"/>
    <s v="2025-04-12"/>
    <s v="Concepción"/>
    <x v="1"/>
    <s v="R. Pinto"/>
    <x v="4"/>
    <s v="Departamento nuevo"/>
    <n v="5386"/>
    <n v="20"/>
    <n v="5.31"/>
    <n v="80"/>
    <n v="1077.1999999999998"/>
    <n v="29.179213932816776"/>
    <n v="72.900000000000006"/>
    <n v="40.026356560791179"/>
    <x v="2"/>
  </r>
  <r>
    <s v="HIP-100566"/>
    <s v="2025-02-04"/>
    <s v="La Florida"/>
    <x v="0"/>
    <s v="A. Rojas"/>
    <x v="1"/>
    <s v="Casa nueva"/>
    <n v="10875"/>
    <n v="25"/>
    <n v="4.2300000000000004"/>
    <n v="70"/>
    <n v="3262.5000000000005"/>
    <n v="41.154610685956676"/>
    <n v="151.6"/>
    <n v="27.146840821871159"/>
    <x v="0"/>
  </r>
  <r>
    <s v="HIP-100567"/>
    <s v="2025-02-03"/>
    <s v="Arica"/>
    <x v="4"/>
    <s v="N. Fuentes"/>
    <x v="0"/>
    <s v="Casa usada"/>
    <n v="7253"/>
    <n v="25"/>
    <n v="4.9400000000000004"/>
    <n v="80"/>
    <n v="1450.5999999999997"/>
    <n v="33.717724333952184"/>
    <n v="126.6"/>
    <n v="26.633273565523051"/>
    <x v="2"/>
  </r>
  <r>
    <s v="HIP-100568"/>
    <s v="2025-04-17"/>
    <s v="Talca"/>
    <x v="9"/>
    <s v="F. Soto"/>
    <x v="4"/>
    <s v="Departamento nuevo"/>
    <n v="16987"/>
    <n v="30"/>
    <n v="5.51"/>
    <n v="90"/>
    <n v="1698.6999999999996"/>
    <n v="86.901231175420023"/>
    <n v="182.5"/>
    <n v="47.617112972832885"/>
    <x v="2"/>
  </r>
  <r>
    <s v="HIP-100569"/>
    <s v="2025-10-16"/>
    <s v="Talcahuano"/>
    <x v="1"/>
    <s v="J. Cáceres"/>
    <x v="4"/>
    <s v="Casa nueva"/>
    <n v="17064"/>
    <n v="15"/>
    <n v="4.4400000000000004"/>
    <n v="85"/>
    <n v="2559.6000000000004"/>
    <n v="110.51343400933916"/>
    <n v="277.60000000000002"/>
    <n v="39.810314844862809"/>
    <x v="2"/>
  </r>
  <r>
    <s v="HIP-100570"/>
    <s v="2025-05-07"/>
    <s v="Maipú"/>
    <x v="0"/>
    <s v="V. Morales"/>
    <x v="3"/>
    <s v="Departamento nuevo"/>
    <n v="8344"/>
    <n v="20"/>
    <n v="4.5599999999999996"/>
    <n v="80"/>
    <n v="1668.7999999999997"/>
    <n v="42.447110800605024"/>
    <n v="116.7"/>
    <n v="36.372845587493593"/>
    <x v="2"/>
  </r>
  <r>
    <s v="HIP-100571"/>
    <s v="2025-08-04"/>
    <s v="Rancagua"/>
    <x v="12"/>
    <s v="T. Núñez"/>
    <x v="4"/>
    <s v="Casa usada"/>
    <n v="16513"/>
    <n v="20"/>
    <n v="5.55"/>
    <n v="75"/>
    <n v="4128.25"/>
    <n v="85.543246341202135"/>
    <n v="241.5"/>
    <n v="35.421634095735868"/>
    <x v="2"/>
  </r>
  <r>
    <s v="HIP-100572"/>
    <s v="2025-11-09"/>
    <s v="Maipú"/>
    <x v="0"/>
    <s v="J. Cáceres"/>
    <x v="4"/>
    <s v="Casa nueva"/>
    <n v="3127"/>
    <n v="25"/>
    <n v="5.77"/>
    <n v="80"/>
    <n v="625.39999999999986"/>
    <n v="15.767974126089069"/>
    <n v="37.5"/>
    <n v="42.047931002904178"/>
    <x v="2"/>
  </r>
  <r>
    <s v="HIP-100573"/>
    <s v="2025-08-06"/>
    <s v="Viña del Mar"/>
    <x v="2"/>
    <s v="P. Vega"/>
    <x v="0"/>
    <s v="Departamento usado"/>
    <n v="13295"/>
    <n v="20"/>
    <n v="5.1100000000000003"/>
    <n v="80"/>
    <n v="2658.9999999999995"/>
    <n v="70.84081023509502"/>
    <n v="174.8"/>
    <n v="40.52677931069509"/>
    <x v="2"/>
  </r>
  <r>
    <s v="HIP-100574"/>
    <s v="2025-07-06"/>
    <s v="Copiapó"/>
    <x v="13"/>
    <s v="V. Morales"/>
    <x v="3"/>
    <s v="Departamento nuevo"/>
    <n v="11775"/>
    <n v="25"/>
    <n v="5.01"/>
    <n v="90"/>
    <n v="1177.4999999999998"/>
    <n v="62.013689126883698"/>
    <n v="130.80000000000001"/>
    <n v="47.411077314131262"/>
    <x v="1"/>
  </r>
  <r>
    <s v="HIP-100575"/>
    <s v="2025-12-05"/>
    <s v="Maipú"/>
    <x v="0"/>
    <s v="T. Núñez"/>
    <x v="1"/>
    <s v="Casa usada"/>
    <n v="8868"/>
    <n v="25"/>
    <n v="4.37"/>
    <n v="70"/>
    <n v="2660.4000000000005"/>
    <n v="34.047410914884615"/>
    <n v="110.3"/>
    <n v="30.868006269161029"/>
    <x v="2"/>
  </r>
  <r>
    <s v="HIP-100576"/>
    <s v="2025-02-05"/>
    <s v="Las Condes"/>
    <x v="0"/>
    <s v="N. Fuentes"/>
    <x v="0"/>
    <s v="Departamento nuevo"/>
    <n v="12955"/>
    <n v="20"/>
    <n v="5.49"/>
    <n v="75"/>
    <n v="3238.75"/>
    <n v="66.781985258986609"/>
    <n v="151.6"/>
    <n v="44.051441463711484"/>
    <x v="1"/>
  </r>
  <r>
    <s v="HIP-100577"/>
    <s v="2025-04-25"/>
    <s v="Maipú"/>
    <x v="0"/>
    <s v="R. Pinto"/>
    <x v="2"/>
    <s v="Departamento usado"/>
    <n v="8606"/>
    <n v="30"/>
    <n v="5.33"/>
    <n v="80"/>
    <n v="1721.1999999999996"/>
    <n v="38.359978824126529"/>
    <n v="122.2"/>
    <n v="31.391144700594541"/>
    <x v="2"/>
  </r>
  <r>
    <s v="HIP-100578"/>
    <s v="2025-01-08"/>
    <s v="Viña del Mar"/>
    <x v="2"/>
    <s v="N. Fuentes"/>
    <x v="1"/>
    <s v="Departamento nuevo"/>
    <n v="12029"/>
    <n v="20"/>
    <n v="4.62"/>
    <n v="70"/>
    <n v="3608.7000000000007"/>
    <n v="53.817945023251482"/>
    <n v="205.8"/>
    <n v="26.150604967566316"/>
    <x v="1"/>
  </r>
  <r>
    <s v="HIP-100579"/>
    <s v="2025-02-05"/>
    <s v="Concepción"/>
    <x v="1"/>
    <s v="P. Vega"/>
    <x v="2"/>
    <s v="Departamento usado"/>
    <n v="9972"/>
    <n v="25"/>
    <n v="5.05"/>
    <n v="80"/>
    <n v="1994.3999999999996"/>
    <n v="46.868947904006696"/>
    <n v="128.80000000000001"/>
    <n v="36.388934708079731"/>
    <x v="2"/>
  </r>
  <r>
    <s v="HIP-100580"/>
    <s v="2025-11-14"/>
    <s v="Maipú"/>
    <x v="0"/>
    <s v="C. Tapia"/>
    <x v="4"/>
    <s v="Casa nueva"/>
    <n v="3490"/>
    <n v="25"/>
    <n v="3.96"/>
    <n v="80"/>
    <n v="697.99999999999989"/>
    <n v="14.675609942854322"/>
    <n v="40.4"/>
    <n v="36.325767185282977"/>
    <x v="2"/>
  </r>
  <r>
    <s v="HIP-100581"/>
    <s v="2025-09-06"/>
    <s v="Copiapó"/>
    <x v="13"/>
    <s v="P. Vega"/>
    <x v="4"/>
    <s v="Departamento nuevo"/>
    <n v="9823"/>
    <n v="25"/>
    <n v="3.91"/>
    <n v="70"/>
    <n v="2946.9000000000005"/>
    <n v="35.953761779063306"/>
    <n v="108.9"/>
    <n v="33.015391899966303"/>
    <x v="2"/>
  </r>
  <r>
    <s v="HIP-100582"/>
    <s v="2025-11-06"/>
    <s v="Valparaíso"/>
    <x v="2"/>
    <s v="C. Tapia"/>
    <x v="2"/>
    <s v="Casa usada"/>
    <n v="2423"/>
    <n v="30"/>
    <n v="4.7"/>
    <n v="80"/>
    <n v="484.59999999999991"/>
    <n v="10.053275298171664"/>
    <n v="35.6"/>
    <n v="28.239537354414786"/>
    <x v="2"/>
  </r>
  <r>
    <s v="HIP-100583"/>
    <s v="2025-11-11"/>
    <s v="Providencia"/>
    <x v="0"/>
    <s v="D. Araya"/>
    <x v="4"/>
    <s v="Departamento usado"/>
    <n v="17161"/>
    <n v="25"/>
    <n v="5.63"/>
    <n v="75"/>
    <n v="4290.25"/>
    <n v="80.039997231894887"/>
    <n v="288.2"/>
    <n v="27.772379330983654"/>
    <x v="2"/>
  </r>
  <r>
    <s v="HIP-100584"/>
    <s v="2025-11-12"/>
    <s v="La Florida"/>
    <x v="0"/>
    <s v="B. Reyes"/>
    <x v="1"/>
    <s v="Departamento usado"/>
    <n v="12717"/>
    <n v="30"/>
    <n v="5.07"/>
    <n v="80"/>
    <n v="2543.3999999999996"/>
    <n v="55.050148685033477"/>
    <n v="196.4"/>
    <n v="28.029607273438632"/>
    <x v="1"/>
  </r>
  <r>
    <s v="HIP-100585"/>
    <s v="2025-05-01"/>
    <s v="Maipú"/>
    <x v="0"/>
    <s v="V. Morales"/>
    <x v="3"/>
    <s v="Departamento usado"/>
    <n v="13936"/>
    <n v="20"/>
    <n v="4.32"/>
    <n v="75"/>
    <n v="3484"/>
    <n v="65.113294513464311"/>
    <n v="175.9"/>
    <n v="37.017222577296366"/>
    <x v="2"/>
  </r>
  <r>
    <s v="HIP-100586"/>
    <s v="2025-10-18"/>
    <s v="Valparaíso"/>
    <x v="2"/>
    <s v="V. Morales"/>
    <x v="2"/>
    <s v="Departamento nuevo"/>
    <n v="12478"/>
    <n v="20"/>
    <n v="5.6"/>
    <n v="80"/>
    <n v="2495.5999999999995"/>
    <n v="69.23268717225568"/>
    <n v="180.5"/>
    <n v="38.356059375210904"/>
    <x v="0"/>
  </r>
  <r>
    <s v="HIP-100587"/>
    <s v="2025-09-01"/>
    <s v="La Florida"/>
    <x v="0"/>
    <s v="T. Núñez"/>
    <x v="4"/>
    <s v="Casa usada"/>
    <n v="1810"/>
    <n v="20"/>
    <n v="4.22"/>
    <n v="85"/>
    <n v="271.50000000000006"/>
    <n v="9.5023214982873832"/>
    <n v="23.5"/>
    <n v="40.435410631010143"/>
    <x v="2"/>
  </r>
  <r>
    <s v="HIP-100588"/>
    <s v="2025-01-01"/>
    <s v="Antofagasta"/>
    <x v="7"/>
    <s v="D. Araya"/>
    <x v="2"/>
    <s v="Casa nueva"/>
    <n v="10738"/>
    <n v="15"/>
    <n v="4.54"/>
    <n v="80"/>
    <n v="2147.5999999999995"/>
    <n v="65.891732897280477"/>
    <n v="179.7"/>
    <n v="36.667630994591256"/>
    <x v="0"/>
  </r>
  <r>
    <s v="HIP-100589"/>
    <s v="2025-12-08"/>
    <s v="Iquique"/>
    <x v="8"/>
    <s v="B. Reyes"/>
    <x v="4"/>
    <s v="Departamento usado"/>
    <n v="7193"/>
    <n v="30"/>
    <n v="4.68"/>
    <n v="80"/>
    <n v="1438.5999999999997"/>
    <n v="29.775359276306695"/>
    <n v="85"/>
    <n v="35.029834442713756"/>
    <x v="2"/>
  </r>
  <r>
    <s v="HIP-100590"/>
    <s v="2025-09-20"/>
    <s v="La Florida"/>
    <x v="0"/>
    <s v="N. Fuentes"/>
    <x v="2"/>
    <s v="Casa nueva"/>
    <n v="4421"/>
    <n v="20"/>
    <n v="4.26"/>
    <n v="75"/>
    <n v="1105.25"/>
    <n v="20.549957061756558"/>
    <n v="47.5"/>
    <n v="43.263067498434857"/>
    <x v="2"/>
  </r>
  <r>
    <s v="HIP-100591"/>
    <s v="2025-01-20"/>
    <s v="Valparaíso"/>
    <x v="2"/>
    <s v="C. Tapia"/>
    <x v="1"/>
    <s v="Casa usada"/>
    <n v="15163"/>
    <n v="30"/>
    <n v="5.28"/>
    <n v="80"/>
    <n v="3032.5999999999995"/>
    <n v="67.210094442696516"/>
    <n v="230"/>
    <n v="29.22178019247675"/>
    <x v="2"/>
  </r>
  <r>
    <s v="HIP-100592"/>
    <s v="2025-05-27"/>
    <s v="Valdivia"/>
    <x v="5"/>
    <s v="S. Bravo"/>
    <x v="2"/>
    <s v="Departamento usado"/>
    <n v="8586"/>
    <n v="30"/>
    <n v="4"/>
    <n v="85"/>
    <n v="1287.9000000000001"/>
    <n v="34.842245678364705"/>
    <n v="132"/>
    <n v="26.395640665427806"/>
    <x v="2"/>
  </r>
  <r>
    <s v="HIP-100593"/>
    <s v="2025-07-13"/>
    <s v="Iquique"/>
    <x v="8"/>
    <s v="V. Morales"/>
    <x v="0"/>
    <s v="Departamento usado"/>
    <n v="11986"/>
    <n v="25"/>
    <n v="4.08"/>
    <n v="80"/>
    <n v="2397.1999999999994"/>
    <n v="51.037737903258794"/>
    <n v="183.6"/>
    <n v="27.798332191317428"/>
    <x v="2"/>
  </r>
  <r>
    <s v="HIP-100594"/>
    <s v="2025-10-12"/>
    <s v="Antofagasta"/>
    <x v="7"/>
    <s v="A. Rojas"/>
    <x v="3"/>
    <s v="Departamento usado"/>
    <n v="4917"/>
    <n v="25"/>
    <n v="4.83"/>
    <n v="85"/>
    <n v="737.55000000000007"/>
    <n v="24.020482733254497"/>
    <n v="58.8"/>
    <n v="40.851161110977039"/>
    <x v="3"/>
  </r>
  <r>
    <s v="HIP-100595"/>
    <s v="2025-03-23"/>
    <s v="Talcahuano"/>
    <x v="1"/>
    <s v="D. Araya"/>
    <x v="0"/>
    <s v="Casa nueva"/>
    <n v="5528"/>
    <n v="15"/>
    <n v="5.51"/>
    <n v="85"/>
    <n v="829.20000000000016"/>
    <n v="38.418056212911232"/>
    <n v="66.2"/>
    <n v="58.033317542161974"/>
    <x v="2"/>
  </r>
  <r>
    <s v="HIP-100596"/>
    <s v="2025-08-04"/>
    <s v="Las Condes"/>
    <x v="0"/>
    <s v="D. Araya"/>
    <x v="1"/>
    <s v="Departamento nuevo"/>
    <n v="3859"/>
    <n v="15"/>
    <n v="4.47"/>
    <n v="80"/>
    <n v="771.79999999999984"/>
    <n v="23.569566649361544"/>
    <n v="46.6"/>
    <n v="50.578469204638509"/>
    <x v="2"/>
  </r>
  <r>
    <s v="HIP-100597"/>
    <s v="2025-03-04"/>
    <s v="La Serena"/>
    <x v="6"/>
    <s v="E. Castro"/>
    <x v="2"/>
    <s v="Departamento usado"/>
    <n v="13672"/>
    <n v="20"/>
    <n v="5.46"/>
    <n v="85"/>
    <n v="2050.8000000000002"/>
    <n v="79.678442394929547"/>
    <n v="150.5"/>
    <n v="52.942486641149202"/>
    <x v="2"/>
  </r>
  <r>
    <s v="HIP-100598"/>
    <s v="2025-04-11"/>
    <s v="Antofagasta"/>
    <x v="7"/>
    <s v="L. Muñoz"/>
    <x v="0"/>
    <s v="Departamento usado"/>
    <n v="14927"/>
    <n v="20"/>
    <n v="5.7"/>
    <n v="80"/>
    <n v="2985.3999999999992"/>
    <n v="83.499500983824376"/>
    <n v="186.4"/>
    <n v="44.79586962651522"/>
    <x v="2"/>
  </r>
  <r>
    <s v="HIP-100599"/>
    <s v="2025-02-27"/>
    <s v="Las Condes"/>
    <x v="0"/>
    <s v="G. Herrera"/>
    <x v="0"/>
    <s v="Casa nueva"/>
    <n v="14984"/>
    <n v="30"/>
    <n v="4.3099999999999996"/>
    <n v="80"/>
    <n v="2996.7999999999993"/>
    <n v="59.391638361432946"/>
    <n v="169.1"/>
    <n v="35.122198912733857"/>
    <x v="2"/>
  </r>
  <r>
    <s v="HIP-100600"/>
    <s v="2025-03-23"/>
    <s v="Talca"/>
    <x v="9"/>
    <s v="B. Reyes"/>
    <x v="1"/>
    <s v="Casa usada"/>
    <n v="6616"/>
    <n v="30"/>
    <n v="4.51"/>
    <n v="90"/>
    <n v="661.59999999999991"/>
    <n v="30.205460107582493"/>
    <n v="72.5"/>
    <n v="41.662703596665509"/>
    <x v="1"/>
  </r>
  <r>
    <s v="HIP-100601"/>
    <s v="2025-08-21"/>
    <s v="Antofagasta"/>
    <x v="7"/>
    <s v="R. Pinto"/>
    <x v="3"/>
    <s v="Casa usada"/>
    <n v="2559"/>
    <n v="20"/>
    <n v="4.59"/>
    <n v="90"/>
    <n v="255.89999999999995"/>
    <n v="14.682673062646554"/>
    <n v="38.4"/>
    <n v="38.236127767308737"/>
    <x v="2"/>
  </r>
  <r>
    <s v="HIP-100602"/>
    <s v="2025-06-11"/>
    <s v="Santiago Centro"/>
    <x v="0"/>
    <s v="M. Silva"/>
    <x v="1"/>
    <s v="Departamento usado"/>
    <n v="13454"/>
    <n v="25"/>
    <n v="5.52"/>
    <n v="85"/>
    <n v="2018.1000000000004"/>
    <n v="70.363086028280321"/>
    <n v="167.6"/>
    <n v="41.98274822689757"/>
    <x v="2"/>
  </r>
  <r>
    <s v="HIP-100603"/>
    <s v="2025-11-04"/>
    <s v="Valparaíso"/>
    <x v="2"/>
    <s v="D. Araya"/>
    <x v="0"/>
    <s v="Departamento usado"/>
    <n v="15639"/>
    <n v="15"/>
    <n v="5.21"/>
    <n v="85"/>
    <n v="2345.8500000000004"/>
    <n v="106.58129525763826"/>
    <n v="255.1"/>
    <n v="41.780201982610059"/>
    <x v="2"/>
  </r>
  <r>
    <s v="HIP-100604"/>
    <s v="2025-11-27"/>
    <s v="Arica"/>
    <x v="4"/>
    <s v="L. Muñoz"/>
    <x v="3"/>
    <s v="Departamento nuevo"/>
    <n v="3703"/>
    <n v="30"/>
    <n v="4.78"/>
    <n v="80"/>
    <n v="740.5999999999998"/>
    <n v="15.506894036106695"/>
    <n v="41.5"/>
    <n v="37.3660097255583"/>
    <x v="2"/>
  </r>
  <r>
    <s v="HIP-100605"/>
    <s v="2025-02-06"/>
    <s v="Rancagua"/>
    <x v="12"/>
    <s v="L. Muñoz"/>
    <x v="0"/>
    <s v="Departamento usado"/>
    <n v="11340"/>
    <n v="30"/>
    <n v="5.27"/>
    <n v="85"/>
    <n v="1701.0000000000002"/>
    <n v="53.346381259542625"/>
    <n v="152.4"/>
    <n v="35.004187178177574"/>
    <x v="2"/>
  </r>
  <r>
    <s v="HIP-100606"/>
    <s v="2025-09-13"/>
    <s v="Talca"/>
    <x v="9"/>
    <s v="M. Silva"/>
    <x v="0"/>
    <s v="Casa nueva"/>
    <n v="15863"/>
    <n v="20"/>
    <n v="5.77"/>
    <n v="80"/>
    <n v="3172.5999999999995"/>
    <n v="89.242162505835879"/>
    <n v="228.4"/>
    <n v="39.072750659297668"/>
    <x v="2"/>
  </r>
  <r>
    <s v="HIP-100607"/>
    <s v="2025-01-12"/>
    <s v="Puerto Montt"/>
    <x v="10"/>
    <s v="P. Vega"/>
    <x v="4"/>
    <s v="Casa usada"/>
    <n v="17519"/>
    <n v="20"/>
    <n v="4.28"/>
    <n v="75"/>
    <n v="4379.75"/>
    <n v="81.57316745341646"/>
    <n v="317.39999999999998"/>
    <n v="25.700430829683828"/>
    <x v="0"/>
  </r>
  <r>
    <s v="HIP-100608"/>
    <s v="2025-10-02"/>
    <s v="Talcahuano"/>
    <x v="1"/>
    <s v="T. Núñez"/>
    <x v="1"/>
    <s v="Casa usada"/>
    <n v="13738"/>
    <n v="30"/>
    <n v="5.04"/>
    <n v="70"/>
    <n v="4121.4000000000005"/>
    <n v="51.859333963842303"/>
    <n v="169.6"/>
    <n v="30.577437478680601"/>
    <x v="2"/>
  </r>
  <r>
    <s v="HIP-100609"/>
    <s v="2025-07-11"/>
    <s v="Viña del Mar"/>
    <x v="2"/>
    <s v="R. Pinto"/>
    <x v="3"/>
    <s v="Casa usada"/>
    <n v="13175"/>
    <n v="15"/>
    <n v="5.76"/>
    <n v="80"/>
    <n v="2634.9999999999995"/>
    <n v="87.581672130667783"/>
    <n v="173.5"/>
    <n v="50.479349931220632"/>
    <x v="2"/>
  </r>
  <r>
    <s v="HIP-100610"/>
    <s v="2025-04-25"/>
    <s v="Viña del Mar"/>
    <x v="2"/>
    <s v="D. Araya"/>
    <x v="3"/>
    <s v="Departamento nuevo"/>
    <n v="8512"/>
    <n v="20"/>
    <n v="3.93"/>
    <n v="90"/>
    <n v="851.19999999999982"/>
    <n v="46.140857917969576"/>
    <n v="121.9"/>
    <n v="37.851401081189152"/>
    <x v="2"/>
  </r>
  <r>
    <s v="HIP-100611"/>
    <s v="2025-06-14"/>
    <s v="La Florida"/>
    <x v="0"/>
    <s v="V. Morales"/>
    <x v="0"/>
    <s v="Casa usada"/>
    <n v="3491"/>
    <n v="25"/>
    <n v="4.25"/>
    <n v="80"/>
    <n v="698.19999999999982"/>
    <n v="15.129661684184979"/>
    <n v="53.5"/>
    <n v="28.279741465766318"/>
    <x v="2"/>
  </r>
  <r>
    <s v="HIP-100612"/>
    <s v="2025-06-24"/>
    <s v="Antofagasta"/>
    <x v="7"/>
    <s v="M. Silva"/>
    <x v="3"/>
    <s v="Casa usada"/>
    <n v="12047"/>
    <n v="15"/>
    <n v="4.45"/>
    <n v="80"/>
    <n v="2409.3999999999996"/>
    <n v="73.480955241381849"/>
    <n v="144.1"/>
    <n v="50.993029313936056"/>
    <x v="1"/>
  </r>
  <r>
    <s v="HIP-100613"/>
    <s v="2025-05-20"/>
    <s v="La Serena"/>
    <x v="6"/>
    <s v="L. Muñoz"/>
    <x v="1"/>
    <s v="Departamento nuevo"/>
    <n v="4614"/>
    <n v="20"/>
    <n v="5.38"/>
    <n v="80"/>
    <n v="922.79999999999984"/>
    <n v="25.141774405541558"/>
    <n v="74.3"/>
    <n v="33.838188971119195"/>
    <x v="2"/>
  </r>
  <r>
    <s v="HIP-100614"/>
    <s v="2025-07-19"/>
    <s v="Providencia"/>
    <x v="0"/>
    <s v="D. Araya"/>
    <x v="2"/>
    <s v="Casa usada"/>
    <n v="5846"/>
    <n v="25"/>
    <n v="4.8899999999999997"/>
    <n v="80"/>
    <n v="1169.1999999999998"/>
    <n v="27.041215658537613"/>
    <n v="81.900000000000006"/>
    <n v="33.017357336431758"/>
    <x v="2"/>
  </r>
  <r>
    <s v="HIP-100615"/>
    <s v="2025-05-23"/>
    <s v="Concepción"/>
    <x v="1"/>
    <s v="T. Núñez"/>
    <x v="0"/>
    <s v="Departamento usado"/>
    <n v="12368"/>
    <n v="25"/>
    <n v="4.84"/>
    <n v="80"/>
    <n v="2473.5999999999995"/>
    <n v="56.923080475818146"/>
    <n v="169.8"/>
    <n v="33.523604520505387"/>
    <x v="2"/>
  </r>
  <r>
    <s v="HIP-100616"/>
    <s v="2025-01-26"/>
    <s v="Copiapó"/>
    <x v="13"/>
    <s v="B. Reyes"/>
    <x v="2"/>
    <s v="Departamento usado"/>
    <n v="13705"/>
    <n v="25"/>
    <n v="4.43"/>
    <n v="90"/>
    <n v="1370.4999999999998"/>
    <n v="68.070002454819033"/>
    <n v="231.7"/>
    <n v="29.378507749166609"/>
    <x v="2"/>
  </r>
  <r>
    <s v="HIP-100617"/>
    <s v="2025-05-16"/>
    <s v="Viña del Mar"/>
    <x v="2"/>
    <s v="N. Fuentes"/>
    <x v="3"/>
    <s v="Casa usada"/>
    <n v="15979"/>
    <n v="20"/>
    <n v="4.63"/>
    <n v="80"/>
    <n v="3195.7999999999993"/>
    <n v="81.772621124434451"/>
    <n v="170.6"/>
    <n v="47.932368771649735"/>
    <x v="2"/>
  </r>
  <r>
    <s v="HIP-100618"/>
    <s v="2025-08-12"/>
    <s v="Valdivia"/>
    <x v="5"/>
    <s v="R. Pinto"/>
    <x v="1"/>
    <s v="Departamento usado"/>
    <n v="2613"/>
    <n v="30"/>
    <n v="5.32"/>
    <n v="80"/>
    <n v="522.59999999999991"/>
    <n v="11.634064766582455"/>
    <n v="32.6"/>
    <n v="35.687315234915509"/>
    <x v="2"/>
  </r>
  <r>
    <s v="HIP-100619"/>
    <s v="2025-09-09"/>
    <s v="Talca"/>
    <x v="9"/>
    <s v="S. Bravo"/>
    <x v="2"/>
    <s v="Departamento nuevo"/>
    <n v="13836"/>
    <n v="20"/>
    <n v="4.92"/>
    <n v="80"/>
    <n v="2767.1999999999994"/>
    <n v="72.560896478848164"/>
    <n v="180.5"/>
    <n v="40.199942647561308"/>
    <x v="2"/>
  </r>
  <r>
    <s v="HIP-100620"/>
    <s v="2025-11-23"/>
    <s v="La Serena"/>
    <x v="6"/>
    <s v="E. Castro"/>
    <x v="4"/>
    <s v="Departamento usado"/>
    <n v="16837"/>
    <n v="20"/>
    <n v="5.21"/>
    <n v="75"/>
    <n v="4209.25"/>
    <n v="84.809431157579411"/>
    <n v="211.3"/>
    <n v="40.136976411537816"/>
    <x v="2"/>
  </r>
  <r>
    <s v="HIP-100621"/>
    <s v="2025-08-16"/>
    <s v="Antofagasta"/>
    <x v="7"/>
    <s v="F. Soto"/>
    <x v="2"/>
    <s v="Casa nueva"/>
    <n v="10896"/>
    <n v="30"/>
    <n v="4.2699999999999996"/>
    <n v="80"/>
    <n v="2179.1999999999994"/>
    <n v="42.983539155565012"/>
    <n v="197.6"/>
    <n v="21.752803216379053"/>
    <x v="2"/>
  </r>
  <r>
    <s v="HIP-100622"/>
    <s v="2025-01-08"/>
    <s v="Copiapó"/>
    <x v="13"/>
    <s v="M. Silva"/>
    <x v="1"/>
    <s v="Casa usada"/>
    <n v="16475"/>
    <n v="30"/>
    <n v="4.6399999999999997"/>
    <n v="90"/>
    <n v="1647.4999999999995"/>
    <n v="76.36720522913717"/>
    <n v="225.6"/>
    <n v="33.850711537738107"/>
    <x v="2"/>
  </r>
  <r>
    <s v="HIP-100623"/>
    <s v="2025-06-04"/>
    <s v="Valparaíso"/>
    <x v="2"/>
    <s v="J. Cáceres"/>
    <x v="3"/>
    <s v="Casa usada"/>
    <n v="8186"/>
    <n v="25"/>
    <n v="5.45"/>
    <n v="80"/>
    <n v="1637.1999999999996"/>
    <n v="40.020051447632348"/>
    <n v="98.7"/>
    <n v="40.547164587266813"/>
    <x v="2"/>
  </r>
  <r>
    <s v="HIP-100624"/>
    <s v="2025-08-03"/>
    <s v="Antofagasta"/>
    <x v="7"/>
    <s v="B. Reyes"/>
    <x v="0"/>
    <s v="Casa usada"/>
    <n v="9167"/>
    <n v="20"/>
    <n v="4.68"/>
    <n v="90"/>
    <n v="916.69999999999982"/>
    <n v="53.00049317810349"/>
    <n v="118"/>
    <n v="44.915672184833468"/>
    <x v="2"/>
  </r>
  <r>
    <s v="HIP-100625"/>
    <s v="2025-05-20"/>
    <s v="Valparaíso"/>
    <x v="2"/>
    <s v="D. Araya"/>
    <x v="3"/>
    <s v="Casa usada"/>
    <n v="16606"/>
    <n v="20"/>
    <n v="4.97"/>
    <n v="85"/>
    <n v="2490.9000000000005"/>
    <n v="92.919647036847635"/>
    <n v="175.4"/>
    <n v="52.975853498772885"/>
    <x v="2"/>
  </r>
  <r>
    <s v="HIP-100626"/>
    <s v="2025-04-06"/>
    <s v="Las Condes"/>
    <x v="0"/>
    <s v="A. Rojas"/>
    <x v="3"/>
    <s v="Casa nueva"/>
    <n v="6553"/>
    <n v="25"/>
    <n v="5.58"/>
    <n v="90"/>
    <n v="655.29999999999984"/>
    <n v="36.49934358492898"/>
    <n v="78.2"/>
    <n v="46.674352410395116"/>
    <x v="2"/>
  </r>
  <r>
    <s v="HIP-100627"/>
    <s v="2025-05-13"/>
    <s v="La Serena"/>
    <x v="6"/>
    <s v="D. Araya"/>
    <x v="2"/>
    <s v="Casa nueva"/>
    <n v="6934"/>
    <n v="20"/>
    <n v="4.57"/>
    <n v="70"/>
    <n v="2080.2000000000003"/>
    <n v="30.891241619873007"/>
    <n v="74.400000000000006"/>
    <n v="41.520486048216405"/>
    <x v="0"/>
  </r>
  <r>
    <s v="HIP-100628"/>
    <s v="2025-03-23"/>
    <s v="Chillán"/>
    <x v="11"/>
    <s v="S. Bravo"/>
    <x v="4"/>
    <s v="Departamento usado"/>
    <n v="16972"/>
    <n v="20"/>
    <n v="4.62"/>
    <n v="85"/>
    <n v="2545.8000000000002"/>
    <n v="92.204367836589029"/>
    <n v="191.4"/>
    <n v="48.17365090730879"/>
    <x v="2"/>
  </r>
  <r>
    <s v="HIP-100629"/>
    <s v="2025-10-18"/>
    <s v="Puerto Montt"/>
    <x v="10"/>
    <s v="V. Morales"/>
    <x v="1"/>
    <s v="Casa usada"/>
    <n v="1810"/>
    <n v="25"/>
    <n v="4.0199999999999996"/>
    <n v="70"/>
    <n v="543.00000000000011"/>
    <n v="6.7016922868112658"/>
    <n v="27.6"/>
    <n v="24.281493792794439"/>
    <x v="2"/>
  </r>
  <r>
    <s v="HIP-100630"/>
    <s v="2025-05-12"/>
    <s v="Temuco"/>
    <x v="3"/>
    <s v="A. Rojas"/>
    <x v="0"/>
    <s v="Casa nueva"/>
    <n v="2998"/>
    <n v="30"/>
    <n v="5.03"/>
    <n v="75"/>
    <n v="749.5"/>
    <n v="12.111693432209277"/>
    <n v="35.200000000000003"/>
    <n v="34.408219977867262"/>
    <x v="2"/>
  </r>
  <r>
    <s v="HIP-100631"/>
    <s v="2025-12-14"/>
    <s v="Valdivia"/>
    <x v="5"/>
    <s v="C. Tapia"/>
    <x v="1"/>
    <s v="Departamento nuevo"/>
    <n v="15564"/>
    <n v="25"/>
    <n v="4.3099999999999996"/>
    <n v="80"/>
    <n v="3112.7999999999993"/>
    <n v="67.871894110416164"/>
    <n v="239.2"/>
    <n v="28.374537671578665"/>
    <x v="2"/>
  </r>
  <r>
    <s v="HIP-100632"/>
    <s v="2025-07-19"/>
    <s v="Maipú"/>
    <x v="0"/>
    <s v="A. Rojas"/>
    <x v="2"/>
    <s v="Departamento nuevo"/>
    <n v="11601"/>
    <n v="25"/>
    <n v="5.41"/>
    <n v="85"/>
    <n v="1740.1500000000003"/>
    <n v="60.025397988208518"/>
    <n v="171"/>
    <n v="35.102571922928959"/>
    <x v="1"/>
  </r>
  <r>
    <s v="HIP-100633"/>
    <s v="2025-09-07"/>
    <s v="Talcahuano"/>
    <x v="1"/>
    <s v="A. Rojas"/>
    <x v="1"/>
    <s v="Casa nueva"/>
    <n v="3716"/>
    <n v="20"/>
    <n v="5.42"/>
    <n v="85"/>
    <n v="557.40000000000009"/>
    <n v="21.585138640464013"/>
    <n v="61.9"/>
    <n v="34.870983264077566"/>
    <x v="2"/>
  </r>
  <r>
    <s v="HIP-100634"/>
    <s v="2025-05-11"/>
    <s v="La Florida"/>
    <x v="0"/>
    <s v="G. Herrera"/>
    <x v="2"/>
    <s v="Departamento usado"/>
    <n v="4419"/>
    <n v="25"/>
    <n v="5.15"/>
    <n v="80"/>
    <n v="883.79999999999984"/>
    <n v="20.976555680801809"/>
    <n v="46.7"/>
    <n v="44.917678117348622"/>
    <x v="2"/>
  </r>
  <r>
    <s v="HIP-100635"/>
    <s v="2025-07-21"/>
    <s v="Puerto Montt"/>
    <x v="10"/>
    <s v="S. Bravo"/>
    <x v="1"/>
    <s v="Casa nueva"/>
    <n v="6459"/>
    <n v="15"/>
    <n v="4.3099999999999996"/>
    <n v="75"/>
    <n v="1614.75"/>
    <n v="36.589524228164201"/>
    <n v="79.400000000000006"/>
    <n v="46.08252421683148"/>
    <x v="2"/>
  </r>
  <r>
    <s v="HIP-100636"/>
    <s v="2025-05-09"/>
    <s v="Providencia"/>
    <x v="0"/>
    <s v="B. Reyes"/>
    <x v="4"/>
    <s v="Casa nueva"/>
    <n v="12811"/>
    <n v="20"/>
    <n v="5.45"/>
    <n v="70"/>
    <n v="3843.3000000000006"/>
    <n v="61.434697859945018"/>
    <n v="175.8"/>
    <n v="34.945789453893639"/>
    <x v="2"/>
  </r>
  <r>
    <s v="HIP-100637"/>
    <s v="2025-07-08"/>
    <s v="Santiago Centro"/>
    <x v="0"/>
    <s v="D. Araya"/>
    <x v="1"/>
    <s v="Departamento usado"/>
    <n v="1826"/>
    <n v="30"/>
    <n v="4.66"/>
    <n v="80"/>
    <n v="365.19999999999993"/>
    <n v="7.5411802327032902"/>
    <n v="26.2"/>
    <n v="28.783130659172862"/>
    <x v="2"/>
  </r>
  <r>
    <s v="HIP-100638"/>
    <s v="2025-07-01"/>
    <s v="Rancagua"/>
    <x v="12"/>
    <s v="N. Fuentes"/>
    <x v="4"/>
    <s v="Departamento usado"/>
    <n v="10705"/>
    <n v="20"/>
    <n v="4.28"/>
    <n v="85"/>
    <n v="1605.7500000000002"/>
    <n v="56.491401255817465"/>
    <n v="175.7"/>
    <n v="32.152191949810735"/>
    <x v="2"/>
  </r>
  <r>
    <s v="HIP-100639"/>
    <s v="2025-05-26"/>
    <s v="Talca"/>
    <x v="9"/>
    <s v="D. Araya"/>
    <x v="3"/>
    <s v="Departamento usado"/>
    <n v="8383"/>
    <n v="30"/>
    <n v="5.13"/>
    <n v="80"/>
    <n v="1676.5999999999997"/>
    <n v="36.536108975593287"/>
    <n v="99.9"/>
    <n v="36.572681657250534"/>
    <x v="2"/>
  </r>
  <r>
    <s v="HIP-100640"/>
    <s v="2025-03-21"/>
    <s v="Puerto Montt"/>
    <x v="10"/>
    <s v="A. Rojas"/>
    <x v="3"/>
    <s v="Casa nueva"/>
    <n v="17976"/>
    <n v="15"/>
    <n v="4.29"/>
    <n v="80"/>
    <n v="3595.1999999999994"/>
    <n v="108.47501415555439"/>
    <n v="227.8"/>
    <n v="47.618531235976462"/>
    <x v="0"/>
  </r>
  <r>
    <s v="HIP-100641"/>
    <s v="2025-03-11"/>
    <s v="Concepción"/>
    <x v="1"/>
    <s v="B. Reyes"/>
    <x v="2"/>
    <s v="Departamento usado"/>
    <n v="1982"/>
    <n v="20"/>
    <n v="4.42"/>
    <n v="85"/>
    <n v="297.30000000000007"/>
    <n v="10.585630500869856"/>
    <n v="21.9"/>
    <n v="48.336212332739073"/>
    <x v="2"/>
  </r>
  <r>
    <s v="HIP-100642"/>
    <s v="2025-06-25"/>
    <s v="Rancagua"/>
    <x v="12"/>
    <s v="L. Muñoz"/>
    <x v="2"/>
    <s v="Departamento usado"/>
    <n v="12661"/>
    <n v="20"/>
    <n v="4.83"/>
    <n v="85"/>
    <n v="1899.1500000000003"/>
    <n v="70.016682305703839"/>
    <n v="190.9"/>
    <n v="36.677151548299548"/>
    <x v="2"/>
  </r>
  <r>
    <s v="HIP-100643"/>
    <s v="2025-07-15"/>
    <s v="La Serena"/>
    <x v="6"/>
    <s v="F. Soto"/>
    <x v="1"/>
    <s v="Casa nueva"/>
    <n v="4631"/>
    <n v="25"/>
    <n v="5.34"/>
    <n v="90"/>
    <n v="463.09999999999991"/>
    <n v="25.197840107250933"/>
    <n v="53.6"/>
    <n v="47.010895722483085"/>
    <x v="2"/>
  </r>
  <r>
    <s v="HIP-100644"/>
    <s v="2025-05-23"/>
    <s v="Rancagua"/>
    <x v="12"/>
    <s v="J. Cáceres"/>
    <x v="4"/>
    <s v="Casa usada"/>
    <n v="5484"/>
    <n v="25"/>
    <n v="4.05"/>
    <n v="70"/>
    <n v="1645.2000000000003"/>
    <n v="20.368731202520603"/>
    <n v="78.099999999999994"/>
    <n v="26.080321642151858"/>
    <x v="2"/>
  </r>
  <r>
    <s v="HIP-100645"/>
    <s v="2025-07-24"/>
    <s v="Temuco"/>
    <x v="3"/>
    <s v="T. Núñez"/>
    <x v="1"/>
    <s v="Casa nueva"/>
    <n v="10962"/>
    <n v="20"/>
    <n v="4.21"/>
    <n v="75"/>
    <n v="2740.5"/>
    <n v="50.735120445445546"/>
    <n v="150.30000000000001"/>
    <n v="33.755901826643743"/>
    <x v="3"/>
  </r>
  <r>
    <s v="HIP-100646"/>
    <s v="2025-09-04"/>
    <s v="Viña del Mar"/>
    <x v="2"/>
    <s v="G. Herrera"/>
    <x v="0"/>
    <s v="Departamento nuevo"/>
    <n v="6621"/>
    <n v="20"/>
    <n v="4.91"/>
    <n v="80"/>
    <n v="1324.1999999999998"/>
    <n v="34.69372693998924"/>
    <n v="75.400000000000006"/>
    <n v="46.01290045091411"/>
    <x v="2"/>
  </r>
  <r>
    <s v="HIP-100647"/>
    <s v="2025-06-08"/>
    <s v="Arica"/>
    <x v="4"/>
    <s v="C. Tapia"/>
    <x v="4"/>
    <s v="Casa usada"/>
    <n v="4740"/>
    <n v="30"/>
    <n v="5.14"/>
    <n v="80"/>
    <n v="947.99999999999977"/>
    <n v="20.681957739577374"/>
    <n v="55.5"/>
    <n v="37.264788719959235"/>
    <x v="2"/>
  </r>
  <r>
    <s v="HIP-100648"/>
    <s v="2025-05-08"/>
    <s v="Talcahuano"/>
    <x v="1"/>
    <s v="G. Herrera"/>
    <x v="0"/>
    <s v="Departamento usado"/>
    <n v="12341"/>
    <n v="25"/>
    <n v="4.8099999999999996"/>
    <n v="80"/>
    <n v="2468.1999999999994"/>
    <n v="56.627792321502682"/>
    <n v="190.2"/>
    <n v="29.772761472924653"/>
    <x v="2"/>
  </r>
  <r>
    <s v="HIP-100649"/>
    <s v="2025-08-11"/>
    <s v="Talca"/>
    <x v="9"/>
    <s v="M. Silva"/>
    <x v="3"/>
    <s v="Departamento usado"/>
    <n v="12597"/>
    <n v="25"/>
    <n v="4.07"/>
    <n v="80"/>
    <n v="2519.3999999999996"/>
    <n v="53.583564679112747"/>
    <n v="194.6"/>
    <n v="27.535233648053826"/>
    <x v="2"/>
  </r>
  <r>
    <s v="HIP-100650"/>
    <s v="2025-06-19"/>
    <s v="Viña del Mar"/>
    <x v="2"/>
    <s v="E. Castro"/>
    <x v="4"/>
    <s v="Departamento nuevo"/>
    <n v="10703"/>
    <n v="25"/>
    <n v="5.48"/>
    <n v="80"/>
    <n v="2140.5999999999995"/>
    <n v="52.478408300385375"/>
    <n v="187"/>
    <n v="28.063319946730147"/>
    <x v="2"/>
  </r>
  <r>
    <s v="HIP-100651"/>
    <s v="2025-09-28"/>
    <s v="Valparaíso"/>
    <x v="2"/>
    <s v="D. Araya"/>
    <x v="4"/>
    <s v="Casa usada"/>
    <n v="2965"/>
    <n v="20"/>
    <n v="5.74"/>
    <n v="80"/>
    <n v="592.99999999999989"/>
    <n v="16.639882249887702"/>
    <n v="39.5"/>
    <n v="42.126284176930888"/>
    <x v="2"/>
  </r>
  <r>
    <s v="HIP-100652"/>
    <s v="2025-08-09"/>
    <s v="Santiago Centro"/>
    <x v="0"/>
    <s v="G. Herrera"/>
    <x v="1"/>
    <s v="Departamento usado"/>
    <n v="16391"/>
    <n v="25"/>
    <n v="5.25"/>
    <n v="90"/>
    <n v="1639.0999999999997"/>
    <n v="88.400423694351446"/>
    <n v="205.3"/>
    <n v="43.059144517462947"/>
    <x v="2"/>
  </r>
  <r>
    <s v="HIP-100653"/>
    <s v="2025-05-18"/>
    <s v="La Serena"/>
    <x v="6"/>
    <s v="A. Rojas"/>
    <x v="3"/>
    <s v="Casa nueva"/>
    <n v="12676"/>
    <n v="25"/>
    <n v="4.22"/>
    <n v="75"/>
    <n v="3169"/>
    <n v="51.34347594493174"/>
    <n v="224.9"/>
    <n v="22.829469072890944"/>
    <x v="2"/>
  </r>
  <r>
    <s v="HIP-100654"/>
    <s v="2025-03-01"/>
    <s v="Iquique"/>
    <x v="8"/>
    <s v="F. Soto"/>
    <x v="2"/>
    <s v="Departamento usado"/>
    <n v="17596"/>
    <n v="25"/>
    <n v="5.45"/>
    <n v="75"/>
    <n v="4399"/>
    <n v="80.647541374664669"/>
    <n v="214.8"/>
    <n v="37.545410323400681"/>
    <x v="2"/>
  </r>
  <r>
    <s v="HIP-100655"/>
    <s v="2025-06-21"/>
    <s v="Santiago Centro"/>
    <x v="0"/>
    <s v="S. Bravo"/>
    <x v="4"/>
    <s v="Departamento nuevo"/>
    <n v="3937"/>
    <n v="30"/>
    <n v="4.74"/>
    <n v="80"/>
    <n v="787.39999999999986"/>
    <n v="16.410825468030406"/>
    <n v="69.3"/>
    <n v="23.680844831212706"/>
    <x v="0"/>
  </r>
  <r>
    <s v="HIP-100656"/>
    <s v="2025-07-19"/>
    <s v="Rancagua"/>
    <x v="12"/>
    <s v="V. Morales"/>
    <x v="2"/>
    <s v="Departamento usado"/>
    <n v="12369"/>
    <n v="30"/>
    <n v="4.76"/>
    <n v="75"/>
    <n v="3092.25"/>
    <n v="48.447851174365127"/>
    <n v="191.1"/>
    <n v="25.352093759479398"/>
    <x v="0"/>
  </r>
  <r>
    <s v="HIP-100657"/>
    <s v="2025-11-07"/>
    <s v="Santiago Centro"/>
    <x v="0"/>
    <s v="E. Castro"/>
    <x v="3"/>
    <s v="Departamento nuevo"/>
    <n v="15965"/>
    <n v="30"/>
    <n v="5.19"/>
    <n v="85"/>
    <n v="2394.7500000000005"/>
    <n v="74.431911431492125"/>
    <n v="179.6"/>
    <n v="41.443157812634809"/>
    <x v="0"/>
  </r>
  <r>
    <s v="HIP-100658"/>
    <s v="2025-03-18"/>
    <s v="Las Condes"/>
    <x v="0"/>
    <s v="M. Silva"/>
    <x v="1"/>
    <s v="Departamento nuevo"/>
    <n v="1954"/>
    <n v="25"/>
    <n v="5.38"/>
    <n v="80"/>
    <n v="390.7999999999999"/>
    <n v="9.4877151364882959"/>
    <n v="25.9"/>
    <n v="36.632104774086088"/>
    <x v="2"/>
  </r>
  <r>
    <s v="HIP-100659"/>
    <s v="2025-09-16"/>
    <s v="Arica"/>
    <x v="4"/>
    <s v="R. Pinto"/>
    <x v="3"/>
    <s v="Casa nueva"/>
    <n v="17388"/>
    <n v="15"/>
    <n v="5.46"/>
    <n v="90"/>
    <n v="1738.7999999999997"/>
    <n v="127.53509469917961"/>
    <n v="291"/>
    <n v="43.826493023773061"/>
    <x v="2"/>
  </r>
  <r>
    <s v="HIP-100660"/>
    <s v="2025-06-12"/>
    <s v="Rancagua"/>
    <x v="12"/>
    <s v="S. Bravo"/>
    <x v="3"/>
    <s v="Casa nueva"/>
    <n v="10556"/>
    <n v="20"/>
    <n v="4.99"/>
    <n v="70"/>
    <n v="3166.8000000000006"/>
    <n v="48.724639212379699"/>
    <n v="121.5"/>
    <n v="40.102583713892756"/>
    <x v="3"/>
  </r>
  <r>
    <s v="HIP-100661"/>
    <s v="2025-02-26"/>
    <s v="Maipú"/>
    <x v="0"/>
    <s v="M. Silva"/>
    <x v="0"/>
    <s v="Casa nueva"/>
    <n v="7475"/>
    <n v="30"/>
    <n v="5.55"/>
    <n v="70"/>
    <n v="2242.5000000000005"/>
    <n v="29.873914270190461"/>
    <n v="106.1"/>
    <n v="28.156375372469807"/>
    <x v="2"/>
  </r>
  <r>
    <s v="HIP-100662"/>
    <s v="2025-01-13"/>
    <s v="Puerto Montt"/>
    <x v="10"/>
    <s v="R. Pinto"/>
    <x v="3"/>
    <s v="Casa nueva"/>
    <n v="14478"/>
    <n v="25"/>
    <n v="5.0599999999999996"/>
    <n v="80"/>
    <n v="2895.5999999999995"/>
    <n v="68.115065805116885"/>
    <n v="167"/>
    <n v="40.787464553962202"/>
    <x v="1"/>
  </r>
  <r>
    <s v="HIP-100663"/>
    <s v="2025-12-04"/>
    <s v="Arica"/>
    <x v="4"/>
    <s v="S. Bravo"/>
    <x v="2"/>
    <s v="Casa usada"/>
    <n v="15649"/>
    <n v="30"/>
    <n v="5.07"/>
    <n v="90"/>
    <n v="1564.8999999999996"/>
    <n v="76.210171335110488"/>
    <n v="187.2"/>
    <n v="40.710561610635949"/>
    <x v="3"/>
  </r>
  <r>
    <s v="HIP-100664"/>
    <s v="2025-04-16"/>
    <s v="Talcahuano"/>
    <x v="1"/>
    <s v="S. Bravo"/>
    <x v="1"/>
    <s v="Departamento nuevo"/>
    <n v="17072"/>
    <n v="25"/>
    <n v="5.05"/>
    <n v="70"/>
    <n v="5121.6000000000004"/>
    <n v="70.209420757125145"/>
    <n v="306"/>
    <n v="22.944255149387303"/>
    <x v="2"/>
  </r>
  <r>
    <s v="HIP-100665"/>
    <s v="2025-08-06"/>
    <s v="Maipú"/>
    <x v="0"/>
    <s v="T. Núñez"/>
    <x v="4"/>
    <s v="Casa nueva"/>
    <n v="4497"/>
    <n v="25"/>
    <n v="5.5"/>
    <n v="80"/>
    <n v="899.39999999999975"/>
    <n v="22.092411622318174"/>
    <n v="47.6"/>
    <n v="46.412629458651629"/>
    <x v="2"/>
  </r>
  <r>
    <s v="HIP-100666"/>
    <s v="2025-07-21"/>
    <s v="Maipú"/>
    <x v="0"/>
    <s v="V. Morales"/>
    <x v="1"/>
    <s v="Casa usada"/>
    <n v="12369"/>
    <n v="25"/>
    <n v="4.7300000000000004"/>
    <n v="75"/>
    <n v="3092.25"/>
    <n v="52.781703992522807"/>
    <n v="140.19999999999999"/>
    <n v="37.64743508739145"/>
    <x v="0"/>
  </r>
  <r>
    <s v="HIP-100667"/>
    <s v="2025-10-17"/>
    <s v="Santiago Centro"/>
    <x v="0"/>
    <s v="C. Tapia"/>
    <x v="0"/>
    <s v="Casa nueva"/>
    <n v="17318"/>
    <n v="30"/>
    <n v="4.0599999999999996"/>
    <n v="90"/>
    <n v="1731.7999999999997"/>
    <n v="74.951049343925192"/>
    <n v="211.6"/>
    <n v="35.421100824161243"/>
    <x v="2"/>
  </r>
  <r>
    <s v="HIP-100668"/>
    <s v="2025-07-26"/>
    <s v="Puerto Montt"/>
    <x v="10"/>
    <s v="D. Araya"/>
    <x v="3"/>
    <s v="Departamento nuevo"/>
    <n v="6921"/>
    <n v="15"/>
    <n v="4.4000000000000004"/>
    <n v="70"/>
    <n v="2076.3000000000002"/>
    <n v="36.814509574188115"/>
    <n v="88"/>
    <n v="41.834669970668315"/>
    <x v="2"/>
  </r>
  <r>
    <s v="HIP-100669"/>
    <s v="2025-05-25"/>
    <s v="Talca"/>
    <x v="9"/>
    <s v="J. Cáceres"/>
    <x v="3"/>
    <s v="Departamento usado"/>
    <n v="1686"/>
    <n v="30"/>
    <n v="4.47"/>
    <n v="80"/>
    <n v="337.19999999999993"/>
    <n v="6.8101497150199206"/>
    <n v="22.3"/>
    <n v="30.538787959730584"/>
    <x v="0"/>
  </r>
  <r>
    <s v="HIP-100670"/>
    <s v="2025-04-23"/>
    <s v="La Serena"/>
    <x v="6"/>
    <s v="N. Fuentes"/>
    <x v="1"/>
    <s v="Casa usada"/>
    <n v="12301"/>
    <n v="20"/>
    <n v="5.27"/>
    <n v="80"/>
    <n v="2460.1999999999994"/>
    <n v="66.421655159698432"/>
    <n v="138.6"/>
    <n v="47.92327212099454"/>
    <x v="2"/>
  </r>
  <r>
    <s v="HIP-100671"/>
    <s v="2025-10-10"/>
    <s v="Providencia"/>
    <x v="0"/>
    <s v="L. Muñoz"/>
    <x v="0"/>
    <s v="Departamento nuevo"/>
    <n v="14952"/>
    <n v="20"/>
    <n v="5.09"/>
    <n v="90"/>
    <n v="1495.1999999999996"/>
    <n v="89.479329395145101"/>
    <n v="193.7"/>
    <n v="46.194800926765673"/>
    <x v="3"/>
  </r>
  <r>
    <s v="HIP-100672"/>
    <s v="2025-07-18"/>
    <s v="Puerto Montt"/>
    <x v="10"/>
    <s v="N. Fuentes"/>
    <x v="1"/>
    <s v="Casa nueva"/>
    <n v="3461"/>
    <n v="20"/>
    <n v="4.24"/>
    <n v="80"/>
    <n v="692.19999999999982"/>
    <n v="17.130599035916045"/>
    <n v="43"/>
    <n v="39.838602409107082"/>
    <x v="1"/>
  </r>
  <r>
    <s v="HIP-100673"/>
    <s v="2025-09-14"/>
    <s v="Talca"/>
    <x v="9"/>
    <s v="F. Soto"/>
    <x v="2"/>
    <s v="Casa usada"/>
    <n v="15608"/>
    <n v="30"/>
    <n v="4.63"/>
    <n v="90"/>
    <n v="1560.7999999999997"/>
    <n v="72.264247537885382"/>
    <n v="180.8"/>
    <n v="39.969163461219786"/>
    <x v="1"/>
  </r>
  <r>
    <s v="HIP-100674"/>
    <s v="2025-04-28"/>
    <s v="Puerto Montt"/>
    <x v="10"/>
    <s v="N. Fuentes"/>
    <x v="0"/>
    <s v="Departamento nuevo"/>
    <n v="4978"/>
    <n v="30"/>
    <n v="4.66"/>
    <n v="80"/>
    <n v="995.5999999999998"/>
    <n v="20.558595398903055"/>
    <n v="62.6"/>
    <n v="32.841206707512868"/>
    <x v="0"/>
  </r>
  <r>
    <s v="HIP-100675"/>
    <s v="2025-08-22"/>
    <s v="Antofagasta"/>
    <x v="7"/>
    <s v="D. Araya"/>
    <x v="1"/>
    <s v="Departamento nuevo"/>
    <n v="9261"/>
    <n v="30"/>
    <n v="4.38"/>
    <n v="85"/>
    <n v="1389.1500000000003"/>
    <n v="39.326205025959446"/>
    <n v="113.3"/>
    <n v="34.709801435092189"/>
    <x v="2"/>
  </r>
  <r>
    <s v="HIP-100676"/>
    <s v="2025-11-03"/>
    <s v="Iquique"/>
    <x v="8"/>
    <s v="M. Silva"/>
    <x v="3"/>
    <s v="Departamento usado"/>
    <n v="7481"/>
    <n v="30"/>
    <n v="4.5"/>
    <n v="80"/>
    <n v="1496.1999999999996"/>
    <n v="30.324102422459308"/>
    <n v="93.8"/>
    <n v="32.32846740134255"/>
    <x v="1"/>
  </r>
  <r>
    <s v="HIP-100677"/>
    <s v="2025-11-21"/>
    <s v="Arica"/>
    <x v="4"/>
    <s v="C. Tapia"/>
    <x v="1"/>
    <s v="Departamento usado"/>
    <n v="16369"/>
    <n v="20"/>
    <n v="4.6900000000000004"/>
    <n v="70"/>
    <n v="4910.7000000000007"/>
    <n v="73.671294950775859"/>
    <n v="276.89999999999998"/>
    <n v="26.605740321695869"/>
    <x v="1"/>
  </r>
  <r>
    <s v="HIP-100678"/>
    <s v="2025-02-20"/>
    <s v="Viña del Mar"/>
    <x v="2"/>
    <s v="D. Araya"/>
    <x v="3"/>
    <s v="Casa usada"/>
    <n v="10257"/>
    <n v="15"/>
    <n v="5.0599999999999996"/>
    <n v="80"/>
    <n v="2051.3999999999996"/>
    <n v="65.146118939433023"/>
    <n v="109.4"/>
    <n v="59.548554789244079"/>
    <x v="2"/>
  </r>
  <r>
    <s v="HIP-100679"/>
    <s v="2025-07-20"/>
    <s v="Las Condes"/>
    <x v="0"/>
    <s v="D. Araya"/>
    <x v="0"/>
    <s v="Departamento nuevo"/>
    <n v="12285"/>
    <n v="25"/>
    <n v="4.3899999999999997"/>
    <n v="80"/>
    <n v="2456.9999999999995"/>
    <n v="54.015407899566441"/>
    <n v="148.1"/>
    <n v="36.472253814697126"/>
    <x v="3"/>
  </r>
  <r>
    <s v="HIP-100680"/>
    <s v="2025-08-24"/>
    <s v="La Florida"/>
    <x v="0"/>
    <s v="G. Herrera"/>
    <x v="3"/>
    <s v="Departamento nuevo"/>
    <n v="11590"/>
    <n v="20"/>
    <n v="5.61"/>
    <n v="80"/>
    <n v="2317.9999999999995"/>
    <n v="64.358331570277954"/>
    <n v="199.5"/>
    <n v="32.259815323447597"/>
    <x v="2"/>
  </r>
  <r>
    <s v="HIP-100681"/>
    <s v="2025-05-11"/>
    <s v="Puerto Montt"/>
    <x v="10"/>
    <s v="L. Muñoz"/>
    <x v="4"/>
    <s v="Casa nueva"/>
    <n v="14118"/>
    <n v="15"/>
    <n v="5.46"/>
    <n v="70"/>
    <n v="4235.4000000000005"/>
    <n v="80.53947338356673"/>
    <n v="246.6"/>
    <n v="32.659964875736712"/>
    <x v="2"/>
  </r>
  <r>
    <s v="HIP-100682"/>
    <s v="2025-05-25"/>
    <s v="Valparaíso"/>
    <x v="2"/>
    <s v="J. Cáceres"/>
    <x v="3"/>
    <s v="Departamento usado"/>
    <n v="4177"/>
    <n v="30"/>
    <n v="4.6100000000000003"/>
    <n v="80"/>
    <n v="835.39999999999986"/>
    <n v="17.150500342225737"/>
    <n v="64.3"/>
    <n v="26.672628837054024"/>
    <x v="2"/>
  </r>
  <r>
    <s v="HIP-100683"/>
    <s v="2025-08-16"/>
    <s v="Santiago Centro"/>
    <x v="0"/>
    <s v="A. Rojas"/>
    <x v="3"/>
    <s v="Departamento nuevo"/>
    <n v="16170"/>
    <n v="30"/>
    <n v="5.69"/>
    <n v="85"/>
    <n v="2425.5000000000005"/>
    <n v="79.686058200558847"/>
    <n v="175.6"/>
    <n v="45.379304214441255"/>
    <x v="1"/>
  </r>
  <r>
    <s v="HIP-100684"/>
    <s v="2025-11-17"/>
    <s v="Maipú"/>
    <x v="0"/>
    <s v="S. Bravo"/>
    <x v="4"/>
    <s v="Casa nueva"/>
    <n v="3807"/>
    <n v="25"/>
    <n v="5.25"/>
    <n v="85"/>
    <n v="571.05000000000007"/>
    <n v="19.391356439084898"/>
    <n v="43"/>
    <n v="45.096177765313719"/>
    <x v="2"/>
  </r>
  <r>
    <s v="HIP-100685"/>
    <s v="2025-01-11"/>
    <s v="Rancagua"/>
    <x v="12"/>
    <s v="F. Soto"/>
    <x v="1"/>
    <s v="Departamento nuevo"/>
    <n v="3835"/>
    <n v="20"/>
    <n v="5.4"/>
    <n v="80"/>
    <n v="766.99999999999989"/>
    <n v="20.931478790746468"/>
    <n v="59.9"/>
    <n v="34.944038047990766"/>
    <x v="3"/>
  </r>
  <r>
    <s v="HIP-100686"/>
    <s v="2025-09-03"/>
    <s v="Temuco"/>
    <x v="3"/>
    <s v="P. Vega"/>
    <x v="2"/>
    <s v="Departamento usado"/>
    <n v="3287"/>
    <n v="20"/>
    <n v="4.16"/>
    <n v="80"/>
    <n v="657.39999999999986"/>
    <n v="16.157429576952286"/>
    <n v="56"/>
    <n v="28.852552815986225"/>
    <x v="2"/>
  </r>
  <r>
    <s v="HIP-100687"/>
    <s v="2025-05-08"/>
    <s v="Las Condes"/>
    <x v="0"/>
    <s v="E. Castro"/>
    <x v="1"/>
    <s v="Departamento usado"/>
    <n v="12014"/>
    <n v="15"/>
    <n v="5.41"/>
    <n v="80"/>
    <n v="2402.7999999999993"/>
    <n v="78.073259789210724"/>
    <n v="145.30000000000001"/>
    <n v="53.732456840475372"/>
    <x v="0"/>
  </r>
  <r>
    <s v="HIP-100688"/>
    <s v="2025-09-14"/>
    <s v="Puerto Montt"/>
    <x v="10"/>
    <s v="L. Muñoz"/>
    <x v="4"/>
    <s v="Casa nueva"/>
    <n v="3604"/>
    <n v="30"/>
    <n v="4.66"/>
    <n v="85"/>
    <n v="540.60000000000014"/>
    <n v="15.814383573975398"/>
    <n v="50.4"/>
    <n v="31.377745186459123"/>
    <x v="2"/>
  </r>
  <r>
    <s v="HIP-100689"/>
    <s v="2025-08-24"/>
    <s v="Valdivia"/>
    <x v="5"/>
    <s v="E. Castro"/>
    <x v="2"/>
    <s v="Casa nueva"/>
    <n v="4305"/>
    <n v="30"/>
    <n v="5.12"/>
    <n v="70"/>
    <n v="1291.5000000000002"/>
    <n v="16.398845245427054"/>
    <n v="50.8"/>
    <n v="32.281191428006011"/>
    <x v="2"/>
  </r>
  <r>
    <s v="HIP-100690"/>
    <s v="2025-07-02"/>
    <s v="Viña del Mar"/>
    <x v="2"/>
    <s v="L. Muñoz"/>
    <x v="2"/>
    <s v="Casa nueva"/>
    <n v="9278"/>
    <n v="25"/>
    <n v="4.5599999999999996"/>
    <n v="75"/>
    <n v="2319.5"/>
    <n v="38.914964259087697"/>
    <n v="126.9"/>
    <n v="30.665850479974544"/>
    <x v="2"/>
  </r>
  <r>
    <s v="HIP-100691"/>
    <s v="2025-07-09"/>
    <s v="Iquique"/>
    <x v="8"/>
    <s v="J. Cáceres"/>
    <x v="1"/>
    <s v="Casa usada"/>
    <n v="14206"/>
    <n v="25"/>
    <n v="4.49"/>
    <n v="85"/>
    <n v="2130.9"/>
    <n v="67.048807330061763"/>
    <n v="153.5"/>
    <n v="43.680004775284537"/>
    <x v="2"/>
  </r>
  <r>
    <s v="HIP-100692"/>
    <s v="2025-03-14"/>
    <s v="Arica"/>
    <x v="4"/>
    <s v="P. Vega"/>
    <x v="0"/>
    <s v="Departamento usado"/>
    <n v="16879"/>
    <n v="25"/>
    <n v="4.3899999999999997"/>
    <n v="85"/>
    <n v="2531.8500000000004"/>
    <n v="78.852987326644751"/>
    <n v="208.4"/>
    <n v="37.837325972478283"/>
    <x v="3"/>
  </r>
  <r>
    <s v="HIP-100693"/>
    <s v="2025-11-19"/>
    <s v="La Serena"/>
    <x v="6"/>
    <s v="E. Castro"/>
    <x v="0"/>
    <s v="Casa usada"/>
    <n v="11138"/>
    <n v="15"/>
    <n v="5.31"/>
    <n v="90"/>
    <n v="1113.7999999999997"/>
    <n v="80.898905359340787"/>
    <n v="153.9"/>
    <n v="52.565890421923832"/>
    <x v="0"/>
  </r>
  <r>
    <s v="HIP-100694"/>
    <s v="2025-07-20"/>
    <s v="Valdivia"/>
    <x v="5"/>
    <s v="N. Fuentes"/>
    <x v="4"/>
    <s v="Departamento usado"/>
    <n v="3491"/>
    <n v="30"/>
    <n v="5.4"/>
    <n v="80"/>
    <n v="698.19999999999982"/>
    <n v="15.682431955334591"/>
    <n v="45.1"/>
    <n v="34.772576397637671"/>
    <x v="2"/>
  </r>
  <r>
    <s v="HIP-100695"/>
    <s v="2025-07-21"/>
    <s v="La Serena"/>
    <x v="6"/>
    <s v="R. Pinto"/>
    <x v="0"/>
    <s v="Casa nueva"/>
    <n v="4181"/>
    <n v="25"/>
    <n v="5.38"/>
    <n v="70"/>
    <n v="1254.3000000000002"/>
    <n v="17.763367380987905"/>
    <n v="70.099999999999994"/>
    <n v="25.340039059897158"/>
    <x v="2"/>
  </r>
  <r>
    <s v="HIP-100696"/>
    <s v="2025-08-06"/>
    <s v="Puerto Montt"/>
    <x v="10"/>
    <s v="J. Cáceres"/>
    <x v="1"/>
    <s v="Departamento nuevo"/>
    <n v="12501"/>
    <n v="30"/>
    <n v="5"/>
    <n v="80"/>
    <n v="2500.1999999999994"/>
    <n v="53.686456874198001"/>
    <n v="167.4"/>
    <n v="32.070762768338113"/>
    <x v="3"/>
  </r>
  <r>
    <s v="HIP-100697"/>
    <s v="2025-06-03"/>
    <s v="Santiago Centro"/>
    <x v="0"/>
    <s v="G. Herrera"/>
    <x v="2"/>
    <s v="Departamento usado"/>
    <n v="5587"/>
    <n v="30"/>
    <n v="4.03"/>
    <n v="75"/>
    <n v="1396.75"/>
    <n v="20.077434180845419"/>
    <n v="61.4"/>
    <n v="32.699404203331298"/>
    <x v="3"/>
  </r>
  <r>
    <s v="HIP-100698"/>
    <s v="2025-09-16"/>
    <s v="La Serena"/>
    <x v="6"/>
    <s v="V. Morales"/>
    <x v="0"/>
    <s v="Casa usada"/>
    <n v="1630"/>
    <n v="20"/>
    <n v="3.97"/>
    <n v="80"/>
    <n v="325.99999999999994"/>
    <n v="7.8813851444410643"/>
    <n v="22.8"/>
    <n v="34.567478703688877"/>
    <x v="3"/>
  </r>
  <r>
    <s v="HIP-100699"/>
    <s v="2025-03-15"/>
    <s v="Puerto Montt"/>
    <x v="10"/>
    <s v="M. Silva"/>
    <x v="4"/>
    <s v="Casa usada"/>
    <n v="9426"/>
    <n v="25"/>
    <n v="4.62"/>
    <n v="85"/>
    <n v="1413.9000000000003"/>
    <n v="45.081331448569188"/>
    <n v="128.9"/>
    <n v="34.973880099743354"/>
    <x v="3"/>
  </r>
  <r>
    <s v="HIP-100700"/>
    <s v="2025-12-16"/>
    <s v="Temuco"/>
    <x v="3"/>
    <s v="E. Castro"/>
    <x v="4"/>
    <s v="Departamento usado"/>
    <n v="11460"/>
    <n v="25"/>
    <n v="4.47"/>
    <n v="75"/>
    <n v="2865"/>
    <n v="47.6275630245282"/>
    <n v="188.7"/>
    <n v="25.239832021477586"/>
    <x v="3"/>
  </r>
  <r>
    <s v="HIP-100701"/>
    <s v="2025-03-01"/>
    <s v="Puerto Montt"/>
    <x v="10"/>
    <s v="S. Bravo"/>
    <x v="3"/>
    <s v="Casa nueva"/>
    <n v="11199"/>
    <n v="30"/>
    <n v="4.9000000000000004"/>
    <n v="80"/>
    <n v="2239.7999999999997"/>
    <n v="47.548868354038895"/>
    <n v="139.5"/>
    <n v="34.085210289633615"/>
    <x v="2"/>
  </r>
  <r>
    <s v="HIP-100702"/>
    <s v="2025-05-19"/>
    <s v="La Florida"/>
    <x v="0"/>
    <s v="R. Pinto"/>
    <x v="2"/>
    <s v="Departamento usado"/>
    <n v="14201"/>
    <n v="25"/>
    <n v="5.04"/>
    <n v="90"/>
    <n v="1420.0999999999997"/>
    <n v="75.014030436744179"/>
    <n v="220.6"/>
    <n v="34.004546888823292"/>
    <x v="2"/>
  </r>
  <r>
    <s v="HIP-100703"/>
    <s v="2025-04-03"/>
    <s v="Maipú"/>
    <x v="0"/>
    <s v="M. Silva"/>
    <x v="2"/>
    <s v="Departamento nuevo"/>
    <n v="6716"/>
    <n v="25"/>
    <n v="5.12"/>
    <n v="80"/>
    <n v="1343.1999999999996"/>
    <n v="31.785635971935069"/>
    <n v="120.3"/>
    <n v="26.421975039015024"/>
    <x v="2"/>
  </r>
  <r>
    <s v="HIP-100704"/>
    <s v="2025-02-27"/>
    <s v="Maipú"/>
    <x v="0"/>
    <s v="B. Reyes"/>
    <x v="3"/>
    <s v="Casa nueva"/>
    <n v="12138"/>
    <n v="20"/>
    <n v="4.9400000000000004"/>
    <n v="80"/>
    <n v="2427.5999999999995"/>
    <n v="63.762925733135845"/>
    <n v="143.4"/>
    <n v="44.465080706510349"/>
    <x v="2"/>
  </r>
  <r>
    <s v="HIP-100705"/>
    <s v="2025-04-13"/>
    <s v="La Serena"/>
    <x v="6"/>
    <s v="N. Fuentes"/>
    <x v="4"/>
    <s v="Casa usada"/>
    <n v="5612"/>
    <n v="30"/>
    <n v="5.51"/>
    <n v="75"/>
    <n v="1403"/>
    <n v="23.924653625147521"/>
    <n v="75"/>
    <n v="31.899538166863362"/>
    <x v="2"/>
  </r>
  <r>
    <s v="HIP-100706"/>
    <s v="2025-01-24"/>
    <s v="La Florida"/>
    <x v="0"/>
    <s v="G. Herrera"/>
    <x v="4"/>
    <s v="Casa usada"/>
    <n v="14526"/>
    <n v="20"/>
    <n v="4.95"/>
    <n v="80"/>
    <n v="2905.1999999999994"/>
    <n v="76.371521251227122"/>
    <n v="177.2"/>
    <n v="43.09905262484601"/>
    <x v="2"/>
  </r>
  <r>
    <s v="HIP-100707"/>
    <s v="2025-12-03"/>
    <s v="Antofagasta"/>
    <x v="7"/>
    <s v="F. Soto"/>
    <x v="1"/>
    <s v="Departamento usado"/>
    <n v="6495"/>
    <n v="30"/>
    <n v="5.29"/>
    <n v="80"/>
    <n v="1298.9999999999998"/>
    <n v="28.821370964781149"/>
    <n v="115.1"/>
    <n v="25.040287545422373"/>
    <x v="2"/>
  </r>
  <r>
    <s v="HIP-100708"/>
    <s v="2025-11-06"/>
    <s v="Valparaíso"/>
    <x v="2"/>
    <s v="J. Cáceres"/>
    <x v="0"/>
    <s v="Casa usada"/>
    <n v="16548"/>
    <n v="30"/>
    <n v="5.29"/>
    <n v="70"/>
    <n v="4964.4000000000005"/>
    <n v="64.252354254741903"/>
    <n v="200.7"/>
    <n v="32.014127680489239"/>
    <x v="3"/>
  </r>
  <r>
    <s v="HIP-100709"/>
    <s v="2025-02-22"/>
    <s v="Iquique"/>
    <x v="8"/>
    <s v="S. Bravo"/>
    <x v="3"/>
    <s v="Departamento nuevo"/>
    <n v="8694"/>
    <n v="20"/>
    <n v="5.26"/>
    <n v="90"/>
    <n v="869.39999999999986"/>
    <n v="52.769331843597477"/>
    <n v="104.9"/>
    <n v="50.304415484840305"/>
    <x v="2"/>
  </r>
  <r>
    <s v="HIP-100710"/>
    <s v="2025-04-09"/>
    <s v="Valparaíso"/>
    <x v="2"/>
    <s v="A. Rojas"/>
    <x v="3"/>
    <s v="Casa nueva"/>
    <n v="16841"/>
    <n v="20"/>
    <n v="4.24"/>
    <n v="70"/>
    <n v="5052.3000000000011"/>
    <n v="72.936829259861128"/>
    <n v="181.1"/>
    <n v="40.274339734876385"/>
    <x v="2"/>
  </r>
  <r>
    <s v="HIP-100711"/>
    <s v="2025-05-11"/>
    <s v="Rancagua"/>
    <x v="12"/>
    <s v="A. Rojas"/>
    <x v="3"/>
    <s v="Casa usada"/>
    <n v="16466"/>
    <n v="20"/>
    <n v="4.32"/>
    <n v="80"/>
    <n v="3293.1999999999994"/>
    <n v="82.063184650493952"/>
    <n v="183.1"/>
    <n v="44.818779164660818"/>
    <x v="3"/>
  </r>
  <r>
    <s v="HIP-100712"/>
    <s v="2025-07-03"/>
    <s v="Antofagasta"/>
    <x v="7"/>
    <s v="T. Núñez"/>
    <x v="0"/>
    <s v="Departamento usado"/>
    <n v="3491"/>
    <n v="25"/>
    <n v="4.92"/>
    <n v="75"/>
    <n v="872.75"/>
    <n v="15.184240314782093"/>
    <n v="37.200000000000003"/>
    <n v="40.817850308554007"/>
    <x v="3"/>
  </r>
  <r>
    <s v="HIP-100713"/>
    <s v="2025-09-09"/>
    <s v="Talcahuano"/>
    <x v="1"/>
    <s v="B. Reyes"/>
    <x v="4"/>
    <s v="Casa usada"/>
    <n v="7429"/>
    <n v="20"/>
    <n v="5.15"/>
    <n v="75"/>
    <n v="1857.25"/>
    <n v="37.2343414610663"/>
    <n v="125.4"/>
    <n v="29.692457305475518"/>
    <x v="2"/>
  </r>
  <r>
    <s v="HIP-100714"/>
    <s v="2025-10-20"/>
    <s v="Talcahuano"/>
    <x v="1"/>
    <s v="G. Herrera"/>
    <x v="1"/>
    <s v="Casa usada"/>
    <n v="12309"/>
    <n v="30"/>
    <n v="4.58"/>
    <n v="80"/>
    <n v="2461.7999999999993"/>
    <n v="50.363484412972895"/>
    <n v="173.4"/>
    <n v="29.044685359269256"/>
    <x v="2"/>
  </r>
  <r>
    <s v="HIP-100715"/>
    <s v="2025-08-20"/>
    <s v="Concepción"/>
    <x v="1"/>
    <s v="G. Herrera"/>
    <x v="2"/>
    <s v="Casa usada"/>
    <n v="5752"/>
    <n v="15"/>
    <n v="5.0199999999999996"/>
    <n v="80"/>
    <n v="1150.3999999999996"/>
    <n v="36.437118922043119"/>
    <n v="79"/>
    <n v="46.122935344358382"/>
    <x v="2"/>
  </r>
  <r>
    <s v="HIP-100716"/>
    <s v="2025-06-09"/>
    <s v="Rancagua"/>
    <x v="12"/>
    <s v="N. Fuentes"/>
    <x v="2"/>
    <s v="Casa usada"/>
    <n v="16885"/>
    <n v="15"/>
    <n v="5.24"/>
    <n v="75"/>
    <n v="4221.25"/>
    <n v="101.73449032618078"/>
    <n v="298.5"/>
    <n v="34.081906306928232"/>
    <x v="3"/>
  </r>
  <r>
    <s v="HIP-100717"/>
    <s v="2025-09-02"/>
    <s v="Rancagua"/>
    <x v="12"/>
    <s v="S. Bravo"/>
    <x v="2"/>
    <s v="Departamento nuevo"/>
    <n v="11829"/>
    <n v="30"/>
    <n v="5.42"/>
    <n v="80"/>
    <n v="2365.7999999999993"/>
    <n v="53.256985390367788"/>
    <n v="130.6"/>
    <n v="40.77870244285436"/>
    <x v="2"/>
  </r>
  <r>
    <s v="HIP-100718"/>
    <s v="2025-11-16"/>
    <s v="Chillán"/>
    <x v="11"/>
    <s v="E. Castro"/>
    <x v="4"/>
    <s v="Casa usada"/>
    <n v="10455"/>
    <n v="30"/>
    <n v="5.63"/>
    <n v="85"/>
    <n v="1568.2500000000002"/>
    <n v="51.185202766625927"/>
    <n v="117"/>
    <n v="43.748036552671735"/>
    <x v="2"/>
  </r>
  <r>
    <s v="HIP-100719"/>
    <s v="2025-01-10"/>
    <s v="Rancagua"/>
    <x v="12"/>
    <s v="V. Morales"/>
    <x v="2"/>
    <s v="Departamento nuevo"/>
    <n v="5392"/>
    <n v="20"/>
    <n v="4.3899999999999997"/>
    <n v="80"/>
    <n v="1078.3999999999999"/>
    <n v="27.034500198117609"/>
    <n v="62.5"/>
    <n v="43.255200316988173"/>
    <x v="0"/>
  </r>
  <r>
    <s v="HIP-100720"/>
    <s v="2025-11-04"/>
    <s v="Concepción"/>
    <x v="1"/>
    <s v="R. Pinto"/>
    <x v="4"/>
    <s v="Casa nueva"/>
    <n v="8412"/>
    <n v="15"/>
    <n v="4.92"/>
    <n v="85"/>
    <n v="1261.8000000000002"/>
    <n v="56.245799219161277"/>
    <n v="112.2"/>
    <n v="50.129945828129472"/>
    <x v="2"/>
  </r>
  <r>
    <s v="HIP-100721"/>
    <s v="2025-06-21"/>
    <s v="Copiapó"/>
    <x v="13"/>
    <s v="D. Araya"/>
    <x v="0"/>
    <s v="Departamento nuevo"/>
    <n v="4938"/>
    <n v="25"/>
    <n v="4.22"/>
    <n v="90"/>
    <n v="493.7999999999999"/>
    <n v="24.001333311714067"/>
    <n v="66.7"/>
    <n v="35.984007963589306"/>
    <x v="2"/>
  </r>
  <r>
    <s v="HIP-100722"/>
    <s v="2025-04-15"/>
    <s v="La Serena"/>
    <x v="6"/>
    <s v="P. Vega"/>
    <x v="2"/>
    <s v="Departamento nuevo"/>
    <n v="15879"/>
    <n v="30"/>
    <n v="5.49"/>
    <n v="70"/>
    <n v="4763.7000000000007"/>
    <n v="63.041729529604247"/>
    <n v="231.5"/>
    <n v="27.231848608900322"/>
    <x v="2"/>
  </r>
  <r>
    <s v="HIP-100723"/>
    <s v="2025-11-27"/>
    <s v="La Florida"/>
    <x v="0"/>
    <s v="S. Bravo"/>
    <x v="3"/>
    <s v="Departamento usado"/>
    <n v="2711"/>
    <n v="20"/>
    <n v="3.94"/>
    <n v="80"/>
    <n v="542.19999999999993"/>
    <n v="13.074034120253886"/>
    <n v="32"/>
    <n v="40.856356625793396"/>
    <x v="1"/>
  </r>
  <r>
    <s v="HIP-100724"/>
    <s v="2025-03-04"/>
    <s v="Santiago Centro"/>
    <x v="0"/>
    <s v="N. Fuentes"/>
    <x v="0"/>
    <s v="Departamento usado"/>
    <n v="17187"/>
    <n v="15"/>
    <n v="4.2300000000000004"/>
    <n v="90"/>
    <n v="1718.6999999999996"/>
    <n v="116.20816937695096"/>
    <n v="186.9"/>
    <n v="62.176655632397512"/>
    <x v="2"/>
  </r>
  <r>
    <s v="HIP-100725"/>
    <s v="2025-04-12"/>
    <s v="La Florida"/>
    <x v="0"/>
    <s v="M. Silva"/>
    <x v="4"/>
    <s v="Casa usada"/>
    <n v="15294"/>
    <n v="30"/>
    <n v="5.36"/>
    <n v="85"/>
    <n v="2294.1000000000004"/>
    <n v="72.674182185716006"/>
    <n v="177.8"/>
    <n v="40.874118214688416"/>
    <x v="3"/>
  </r>
  <r>
    <s v="HIP-100726"/>
    <s v="2025-09-24"/>
    <s v="Iquique"/>
    <x v="8"/>
    <s v="D. Araya"/>
    <x v="0"/>
    <s v="Departamento nuevo"/>
    <n v="8666"/>
    <n v="25"/>
    <n v="4.5"/>
    <n v="80"/>
    <n v="1733.1999999999996"/>
    <n v="38.534754032148776"/>
    <n v="95.8"/>
    <n v="40.224169135854673"/>
    <x v="2"/>
  </r>
  <r>
    <s v="HIP-100727"/>
    <s v="2025-09-12"/>
    <s v="Talcahuano"/>
    <x v="1"/>
    <s v="L. Muñoz"/>
    <x v="4"/>
    <s v="Departamento nuevo"/>
    <n v="5148"/>
    <n v="15"/>
    <n v="5.0999999999999996"/>
    <n v="80"/>
    <n v="1029.5999999999997"/>
    <n v="32.78298361280531"/>
    <n v="90.8"/>
    <n v="36.104607503089547"/>
    <x v="3"/>
  </r>
  <r>
    <s v="HIP-100728"/>
    <s v="2025-07-03"/>
    <s v="Las Condes"/>
    <x v="0"/>
    <s v="J. Cáceres"/>
    <x v="0"/>
    <s v="Casa nueva"/>
    <n v="7859"/>
    <n v="25"/>
    <n v="5.72"/>
    <n v="80"/>
    <n v="1571.7999999999997"/>
    <n v="39.439277097440296"/>
    <n v="141.9"/>
    <n v="27.793711837519584"/>
    <x v="2"/>
  </r>
  <r>
    <s v="HIP-100729"/>
    <s v="2025-11-09"/>
    <s v="Viña del Mar"/>
    <x v="2"/>
    <s v="T. Núñez"/>
    <x v="4"/>
    <s v="Departamento usado"/>
    <n v="1642"/>
    <n v="30"/>
    <n v="4.62"/>
    <n v="80"/>
    <n v="328.39999999999992"/>
    <n v="6.7498063741030485"/>
    <n v="27.3"/>
    <n v="24.724565472904938"/>
    <x v="2"/>
  </r>
  <r>
    <s v="HIP-100730"/>
    <s v="2025-12-03"/>
    <s v="Providencia"/>
    <x v="0"/>
    <s v="E. Castro"/>
    <x v="1"/>
    <s v="Departamento nuevo"/>
    <n v="14962"/>
    <n v="25"/>
    <n v="4.33"/>
    <n v="80"/>
    <n v="2992.3999999999992"/>
    <n v="65.381236477209754"/>
    <n v="242"/>
    <n v="27.017039866615601"/>
    <x v="2"/>
  </r>
  <r>
    <s v="HIP-100731"/>
    <s v="2025-11-22"/>
    <s v="Las Condes"/>
    <x v="0"/>
    <s v="B. Reyes"/>
    <x v="2"/>
    <s v="Casa usada"/>
    <n v="15755"/>
    <n v="20"/>
    <n v="5.07"/>
    <n v="70"/>
    <n v="4726.5000000000009"/>
    <n v="73.210360313612497"/>
    <n v="241.4"/>
    <n v="30.327406923617438"/>
    <x v="0"/>
  </r>
  <r>
    <s v="HIP-100732"/>
    <s v="2025-01-04"/>
    <s v="Las Condes"/>
    <x v="0"/>
    <s v="G. Herrera"/>
    <x v="2"/>
    <s v="Casa usada"/>
    <n v="3700"/>
    <n v="25"/>
    <n v="4.01"/>
    <n v="75"/>
    <n v="925"/>
    <n v="14.662798943791497"/>
    <n v="62.5"/>
    <n v="23.460478310066396"/>
    <x v="2"/>
  </r>
  <r>
    <s v="HIP-100733"/>
    <s v="2025-11-11"/>
    <s v="Rancagua"/>
    <x v="12"/>
    <s v="S. Bravo"/>
    <x v="0"/>
    <s v="Departamento usado"/>
    <n v="7907"/>
    <n v="20"/>
    <n v="4.78"/>
    <n v="70"/>
    <n v="2372.1000000000004"/>
    <n v="35.858578930862421"/>
    <n v="114.9"/>
    <n v="31.208510818853281"/>
    <x v="2"/>
  </r>
  <r>
    <s v="HIP-100734"/>
    <s v="2025-08-04"/>
    <s v="Puerto Montt"/>
    <x v="10"/>
    <s v="F. Soto"/>
    <x v="3"/>
    <s v="Casa usada"/>
    <n v="13774"/>
    <n v="30"/>
    <n v="4.84"/>
    <n v="70"/>
    <n v="4132.2000000000007"/>
    <n v="50.820564275773329"/>
    <n v="192.7"/>
    <n v="26.372892722248746"/>
    <x v="1"/>
  </r>
  <r>
    <s v="HIP-100735"/>
    <s v="2025-12-23"/>
    <s v="Talca"/>
    <x v="9"/>
    <s v="B. Reyes"/>
    <x v="2"/>
    <s v="Casa usada"/>
    <n v="3226"/>
    <n v="30"/>
    <n v="4.87"/>
    <n v="90"/>
    <n v="322.59999999999991"/>
    <n v="15.356221278318817"/>
    <n v="51.7"/>
    <n v="29.702555664059606"/>
    <x v="2"/>
  </r>
  <r>
    <s v="HIP-100736"/>
    <s v="2025-10-19"/>
    <s v="Talca"/>
    <x v="9"/>
    <s v="B. Reyes"/>
    <x v="4"/>
    <s v="Casa nueva"/>
    <n v="3178"/>
    <n v="20"/>
    <n v="4.01"/>
    <n v="80"/>
    <n v="635.59999999999991"/>
    <n v="15.419843906529845"/>
    <n v="41.2"/>
    <n v="37.426805598373406"/>
    <x v="2"/>
  </r>
  <r>
    <s v="HIP-100737"/>
    <s v="2025-12-21"/>
    <s v="Las Condes"/>
    <x v="0"/>
    <s v="A. Rojas"/>
    <x v="0"/>
    <s v="Casa nueva"/>
    <n v="4752"/>
    <n v="20"/>
    <n v="4.9000000000000004"/>
    <n v="85"/>
    <n v="712.80000000000007"/>
    <n v="26.434304026278429"/>
    <n v="57.3"/>
    <n v="46.13316583992745"/>
    <x v="1"/>
  </r>
  <r>
    <s v="HIP-100738"/>
    <s v="2025-08-04"/>
    <s v="Copiapó"/>
    <x v="13"/>
    <s v="N. Fuentes"/>
    <x v="0"/>
    <s v="Departamento nuevo"/>
    <n v="17735"/>
    <n v="30"/>
    <n v="5.0999999999999996"/>
    <n v="80"/>
    <n v="3546.9999999999991"/>
    <n v="77.033713850050148"/>
    <n v="237.8"/>
    <n v="32.394328784714105"/>
    <x v="2"/>
  </r>
  <r>
    <s v="HIP-100739"/>
    <s v="2025-03-05"/>
    <s v="Iquique"/>
    <x v="8"/>
    <s v="J. Cáceres"/>
    <x v="3"/>
    <s v="Casa usada"/>
    <n v="6412"/>
    <n v="15"/>
    <n v="4.7699999999999996"/>
    <n v="80"/>
    <n v="1282.3999999999996"/>
    <n v="39.952624886012096"/>
    <n v="73.3"/>
    <n v="54.505627402472165"/>
    <x v="2"/>
  </r>
  <r>
    <s v="HIP-100740"/>
    <s v="2025-11-08"/>
    <s v="Maipú"/>
    <x v="0"/>
    <s v="A. Rojas"/>
    <x v="2"/>
    <s v="Casa usada"/>
    <n v="11371"/>
    <n v="30"/>
    <n v="4.76"/>
    <n v="80"/>
    <n v="2274.1999999999994"/>
    <n v="47.508061828007072"/>
    <n v="179.4"/>
    <n v="26.481639814942625"/>
    <x v="2"/>
  </r>
  <r>
    <s v="HIP-100741"/>
    <s v="2025-03-21"/>
    <s v="Iquique"/>
    <x v="8"/>
    <s v="B. Reyes"/>
    <x v="0"/>
    <s v="Departamento nuevo"/>
    <n v="17075"/>
    <n v="15"/>
    <n v="3.91"/>
    <n v="90"/>
    <n v="1707.4999999999995"/>
    <n v="112.97969633837671"/>
    <n v="199.1"/>
    <n v="56.745201576281623"/>
    <x v="0"/>
  </r>
  <r>
    <s v="HIP-100742"/>
    <s v="2025-11-09"/>
    <s v="Copiapó"/>
    <x v="13"/>
    <s v="D. Araya"/>
    <x v="2"/>
    <s v="Departamento usado"/>
    <n v="14532"/>
    <n v="25"/>
    <n v="4.2"/>
    <n v="80"/>
    <n v="2906.3999999999992"/>
    <n v="62.655278104402854"/>
    <n v="204.2"/>
    <n v="30.683289962978872"/>
    <x v="2"/>
  </r>
  <r>
    <s v="HIP-100743"/>
    <s v="2025-08-13"/>
    <s v="Providencia"/>
    <x v="0"/>
    <s v="V. Morales"/>
    <x v="0"/>
    <s v="Casa nueva"/>
    <n v="14366"/>
    <n v="20"/>
    <n v="5.0999999999999996"/>
    <n v="85"/>
    <n v="2154.9000000000005"/>
    <n v="81.263947414849994"/>
    <n v="187.9"/>
    <n v="43.248508469850982"/>
    <x v="2"/>
  </r>
  <r>
    <s v="HIP-100744"/>
    <s v="2025-11-10"/>
    <s v="Arica"/>
    <x v="4"/>
    <s v="B. Reyes"/>
    <x v="1"/>
    <s v="Departamento usado"/>
    <n v="11548"/>
    <n v="30"/>
    <n v="5.7"/>
    <n v="80"/>
    <n v="2309.5999999999995"/>
    <n v="53.619713100252355"/>
    <n v="137"/>
    <n v="39.138476715512667"/>
    <x v="2"/>
  </r>
  <r>
    <s v="HIP-100745"/>
    <s v="2025-01-10"/>
    <s v="Copiapó"/>
    <x v="13"/>
    <s v="D. Araya"/>
    <x v="4"/>
    <s v="Departamento usado"/>
    <n v="5434"/>
    <n v="25"/>
    <n v="5.07"/>
    <n v="70"/>
    <n v="1630.2000000000003"/>
    <n v="22.39204496543633"/>
    <n v="87.5"/>
    <n v="25.590908531927237"/>
    <x v="2"/>
  </r>
  <r>
    <s v="HIP-100746"/>
    <s v="2025-11-01"/>
    <s v="Talcahuano"/>
    <x v="1"/>
    <s v="D. Araya"/>
    <x v="2"/>
    <s v="Casa usada"/>
    <n v="2915"/>
    <n v="30"/>
    <n v="4.53"/>
    <n v="75"/>
    <n v="728.75"/>
    <n v="11.116412271950415"/>
    <n v="39.6"/>
    <n v="28.071748161490945"/>
    <x v="1"/>
  </r>
  <r>
    <s v="HIP-100747"/>
    <s v="2025-05-07"/>
    <s v="Santiago Centro"/>
    <x v="0"/>
    <s v="S. Bravo"/>
    <x v="3"/>
    <s v="Departamento usado"/>
    <n v="8111"/>
    <n v="25"/>
    <n v="5.53"/>
    <n v="80"/>
    <n v="1622.1999999999996"/>
    <n v="39.963244969895769"/>
    <n v="96.6"/>
    <n v="41.369818809415911"/>
    <x v="2"/>
  </r>
  <r>
    <s v="HIP-100748"/>
    <s v="2025-09-04"/>
    <s v="Concepción"/>
    <x v="1"/>
    <s v="L. Muñoz"/>
    <x v="1"/>
    <s v="Casa nueva"/>
    <n v="10433"/>
    <n v="25"/>
    <n v="5.04"/>
    <n v="75"/>
    <n v="2608.25"/>
    <n v="45.925250542599812"/>
    <n v="165.1"/>
    <n v="27.816626615747918"/>
    <x v="2"/>
  </r>
  <r>
    <s v="HIP-100749"/>
    <s v="2025-02-18"/>
    <s v="Maipú"/>
    <x v="0"/>
    <s v="S. Bravo"/>
    <x v="3"/>
    <s v="Departamento usado"/>
    <n v="17839"/>
    <n v="20"/>
    <n v="4.58"/>
    <n v="80"/>
    <n v="3567.7999999999993"/>
    <n v="90.904100342797193"/>
    <n v="225.5"/>
    <n v="40.312239619865721"/>
    <x v="2"/>
  </r>
  <r>
    <s v="HIP-100750"/>
    <s v="2025-08-08"/>
    <s v="Temuco"/>
    <x v="3"/>
    <s v="S. Bravo"/>
    <x v="3"/>
    <s v="Departamento usado"/>
    <n v="5123"/>
    <n v="15"/>
    <n v="5.55"/>
    <n v="80"/>
    <n v="1024.5999999999997"/>
    <n v="33.596188682643891"/>
    <n v="54.1"/>
    <n v="62.100163923556174"/>
    <x v="1"/>
  </r>
  <r>
    <s v="HIP-100751"/>
    <s v="2025-11-23"/>
    <s v="Las Condes"/>
    <x v="0"/>
    <s v="P. Vega"/>
    <x v="3"/>
    <s v="Departamento usado"/>
    <n v="10240"/>
    <n v="20"/>
    <n v="4.72"/>
    <n v="80"/>
    <n v="2047.9999999999995"/>
    <n v="52.804514018196443"/>
    <n v="132.4"/>
    <n v="39.882563457852299"/>
    <x v="1"/>
  </r>
  <r>
    <s v="HIP-100752"/>
    <s v="2025-11-15"/>
    <s v="Puerto Montt"/>
    <x v="10"/>
    <s v="N. Fuentes"/>
    <x v="3"/>
    <s v="Departamento usado"/>
    <n v="16757"/>
    <n v="20"/>
    <n v="4"/>
    <n v="80"/>
    <n v="3351.3999999999992"/>
    <n v="81.235299024562877"/>
    <n v="232.2"/>
    <n v="34.98505556613388"/>
    <x v="3"/>
  </r>
  <r>
    <s v="HIP-100753"/>
    <s v="2025-05-28"/>
    <s v="Puerto Montt"/>
    <x v="10"/>
    <s v="D. Araya"/>
    <x v="3"/>
    <s v="Departamento usado"/>
    <n v="15978"/>
    <n v="25"/>
    <n v="5.58"/>
    <n v="70"/>
    <n v="4793.4000000000005"/>
    <n v="69.218603567491854"/>
    <n v="183.2"/>
    <n v="37.783080549940976"/>
    <x v="2"/>
  </r>
  <r>
    <s v="HIP-100754"/>
    <s v="2025-04-05"/>
    <s v="Viña del Mar"/>
    <x v="2"/>
    <s v="J. Cáceres"/>
    <x v="1"/>
    <s v="Departamento nuevo"/>
    <n v="16623"/>
    <n v="30"/>
    <n v="4.21"/>
    <n v="80"/>
    <n v="3324.5999999999995"/>
    <n v="65.109100570965524"/>
    <n v="182.7"/>
    <n v="35.637165063473198"/>
    <x v="2"/>
  </r>
  <r>
    <s v="HIP-100755"/>
    <s v="2025-01-04"/>
    <s v="Concepción"/>
    <x v="1"/>
    <s v="L. Muñoz"/>
    <x v="3"/>
    <s v="Departamento nuevo"/>
    <n v="16584"/>
    <n v="25"/>
    <n v="4.5599999999999996"/>
    <n v="70"/>
    <n v="4975.2000000000007"/>
    <n v="64.921468289271715"/>
    <n v="294.39999999999998"/>
    <n v="22.052129174345016"/>
    <x v="2"/>
  </r>
  <r>
    <s v="HIP-100756"/>
    <s v="2025-09-13"/>
    <s v="Rancagua"/>
    <x v="12"/>
    <s v="M. Silva"/>
    <x v="2"/>
    <s v="Casa nueva"/>
    <n v="16296"/>
    <n v="25"/>
    <n v="5.21"/>
    <n v="70"/>
    <n v="4888.8000000000011"/>
    <n v="68.088455922043181"/>
    <n v="262.2"/>
    <n v="25.968137270039353"/>
    <x v="2"/>
  </r>
  <r>
    <s v="HIP-100757"/>
    <s v="2025-08-07"/>
    <s v="Arica"/>
    <x v="4"/>
    <s v="V. Morales"/>
    <x v="3"/>
    <s v="Departamento usado"/>
    <n v="14315"/>
    <n v="25"/>
    <n v="4.1900000000000004"/>
    <n v="85"/>
    <n v="2147.2500000000005"/>
    <n v="65.509230113886957"/>
    <n v="181"/>
    <n v="36.192944814302187"/>
    <x v="2"/>
  </r>
  <r>
    <s v="HIP-100758"/>
    <s v="2025-01-26"/>
    <s v="Las Condes"/>
    <x v="0"/>
    <s v="S. Bravo"/>
    <x v="4"/>
    <s v="Departamento usado"/>
    <n v="4360"/>
    <n v="15"/>
    <n v="5.71"/>
    <n v="70"/>
    <n v="1308.0000000000002"/>
    <n v="25.278792276405643"/>
    <n v="52.2"/>
    <n v="48.426805127213875"/>
    <x v="2"/>
  </r>
  <r>
    <s v="HIP-100759"/>
    <s v="2025-06-27"/>
    <s v="Concepción"/>
    <x v="1"/>
    <s v="B. Reyes"/>
    <x v="2"/>
    <s v="Casa usada"/>
    <n v="13513"/>
    <n v="30"/>
    <n v="5.32"/>
    <n v="85"/>
    <n v="2026.9500000000003"/>
    <n v="63.925301192214107"/>
    <n v="208.3"/>
    <n v="30.689054821034134"/>
    <x v="2"/>
  </r>
  <r>
    <s v="HIP-100760"/>
    <s v="2025-06-20"/>
    <s v="Valparaíso"/>
    <x v="2"/>
    <s v="A. Rojas"/>
    <x v="2"/>
    <s v="Departamento nuevo"/>
    <n v="17509"/>
    <n v="20"/>
    <n v="4.5199999999999996"/>
    <n v="80"/>
    <n v="3501.7999999999993"/>
    <n v="88.767754566545477"/>
    <n v="197.7"/>
    <n v="44.900229927438282"/>
    <x v="0"/>
  </r>
  <r>
    <s v="HIP-100761"/>
    <s v="2025-10-09"/>
    <s v="Las Condes"/>
    <x v="0"/>
    <s v="B. Reyes"/>
    <x v="1"/>
    <s v="Casa usada"/>
    <n v="11532"/>
    <n v="30"/>
    <n v="4.09"/>
    <n v="80"/>
    <n v="2306.3999999999996"/>
    <n v="44.524447865713334"/>
    <n v="130.80000000000001"/>
    <n v="34.040097756661567"/>
    <x v="2"/>
  </r>
  <r>
    <s v="HIP-100762"/>
    <s v="2025-04-25"/>
    <s v="Antofagasta"/>
    <x v="7"/>
    <s v="F. Soto"/>
    <x v="0"/>
    <s v="Departamento nuevo"/>
    <n v="1511"/>
    <n v="20"/>
    <n v="5.43"/>
    <n v="90"/>
    <n v="151.09999999999997"/>
    <n v="9.3008963575159509"/>
    <n v="16.8"/>
    <n v="55.362478318547325"/>
    <x v="2"/>
  </r>
  <r>
    <s v="HIP-100763"/>
    <s v="2025-04-17"/>
    <s v="Talcahuano"/>
    <x v="1"/>
    <s v="P. Vega"/>
    <x v="0"/>
    <s v="Departamento nuevo"/>
    <n v="14976"/>
    <n v="30"/>
    <n v="4.5"/>
    <n v="80"/>
    <n v="2995.1999999999994"/>
    <n v="60.70495359961911"/>
    <n v="163.4"/>
    <n v="37.151134393891745"/>
    <x v="1"/>
  </r>
  <r>
    <s v="HIP-100764"/>
    <s v="2025-08-05"/>
    <s v="Valdivia"/>
    <x v="5"/>
    <s v="V. Morales"/>
    <x v="0"/>
    <s v="Departamento usado"/>
    <n v="12941"/>
    <n v="15"/>
    <n v="4.47"/>
    <n v="85"/>
    <n v="1941.1500000000003"/>
    <n v="83.979560024611175"/>
    <n v="170.6"/>
    <n v="49.226002359092128"/>
    <x v="2"/>
  </r>
  <r>
    <s v="HIP-100765"/>
    <s v="2025-03-01"/>
    <s v="Puerto Montt"/>
    <x v="10"/>
    <s v="T. Núñez"/>
    <x v="0"/>
    <s v="Departamento usado"/>
    <n v="8513"/>
    <n v="25"/>
    <n v="5.43"/>
    <n v="80"/>
    <n v="1702.5999999999997"/>
    <n v="41.537594559484795"/>
    <n v="125.6"/>
    <n v="33.071333247997444"/>
    <x v="2"/>
  </r>
  <r>
    <s v="HIP-100766"/>
    <s v="2025-11-02"/>
    <s v="Talca"/>
    <x v="9"/>
    <s v="P. Vega"/>
    <x v="1"/>
    <s v="Departamento usado"/>
    <n v="10623"/>
    <n v="20"/>
    <n v="5.69"/>
    <n v="70"/>
    <n v="3186.9000000000005"/>
    <n v="51.953245990151601"/>
    <n v="112.7"/>
    <n v="46.098709840418458"/>
    <x v="2"/>
  </r>
  <r>
    <s v="HIP-100767"/>
    <s v="2025-04-26"/>
    <s v="Temuco"/>
    <x v="3"/>
    <s v="T. Núñez"/>
    <x v="2"/>
    <s v="Departamento nuevo"/>
    <n v="14064"/>
    <n v="20"/>
    <n v="4.71"/>
    <n v="80"/>
    <n v="2812.7999999999993"/>
    <n v="72.462352247914552"/>
    <n v="148.69999999999999"/>
    <n v="48.730566407474484"/>
    <x v="2"/>
  </r>
  <r>
    <s v="HIP-100768"/>
    <s v="2025-01-08"/>
    <s v="Iquique"/>
    <x v="8"/>
    <s v="J. Cáceres"/>
    <x v="4"/>
    <s v="Departamento usado"/>
    <n v="13815"/>
    <n v="20"/>
    <n v="5.37"/>
    <n v="90"/>
    <n v="1381.4999999999998"/>
    <n v="84.618132159050717"/>
    <n v="179.3"/>
    <n v="47.193604104322759"/>
    <x v="2"/>
  </r>
  <r>
    <s v="HIP-100769"/>
    <s v="2025-07-09"/>
    <s v="Santiago Centro"/>
    <x v="0"/>
    <s v="A. Rojas"/>
    <x v="3"/>
    <s v="Casa nueva"/>
    <n v="5214"/>
    <n v="20"/>
    <n v="5.04"/>
    <n v="80"/>
    <n v="1042.7999999999997"/>
    <n v="27.620327593288831"/>
    <n v="61.3"/>
    <n v="45.057630657893689"/>
    <x v="2"/>
  </r>
  <r>
    <s v="HIP-100770"/>
    <s v="2025-04-20"/>
    <s v="Valdivia"/>
    <x v="5"/>
    <s v="T. Núñez"/>
    <x v="0"/>
    <s v="Departamento usado"/>
    <n v="1819"/>
    <n v="20"/>
    <n v="5.5"/>
    <n v="80"/>
    <n v="363.7999999999999"/>
    <n v="10.010136103967639"/>
    <n v="23.1"/>
    <n v="43.333922527998439"/>
    <x v="2"/>
  </r>
  <r>
    <s v="HIP-100771"/>
    <s v="2025-10-19"/>
    <s v="Maipú"/>
    <x v="0"/>
    <s v="S. Bravo"/>
    <x v="2"/>
    <s v="Casa usada"/>
    <n v="2825"/>
    <n v="15"/>
    <n v="4.71"/>
    <n v="80"/>
    <n v="564.99999999999989"/>
    <n v="17.532389531809923"/>
    <n v="45.4"/>
    <n v="38.617598087687057"/>
    <x v="2"/>
  </r>
  <r>
    <s v="HIP-100772"/>
    <s v="2025-03-28"/>
    <s v="Talca"/>
    <x v="9"/>
    <s v="M. Silva"/>
    <x v="4"/>
    <s v="Departamento nuevo"/>
    <n v="10278"/>
    <n v="15"/>
    <n v="5.04"/>
    <n v="70"/>
    <n v="3083.4000000000005"/>
    <n v="57.04446358590819"/>
    <n v="183"/>
    <n v="31.171838025086441"/>
    <x v="2"/>
  </r>
  <r>
    <s v="HIP-100773"/>
    <s v="2025-08-18"/>
    <s v="Rancagua"/>
    <x v="12"/>
    <s v="C. Tapia"/>
    <x v="4"/>
    <s v="Casa nueva"/>
    <n v="2253"/>
    <n v="20"/>
    <n v="4.46"/>
    <n v="80"/>
    <n v="450.59999999999991"/>
    <n v="11.363992231492016"/>
    <n v="23.9"/>
    <n v="47.548084650594213"/>
    <x v="2"/>
  </r>
  <r>
    <s v="HIP-100774"/>
    <s v="2025-08-22"/>
    <s v="Maipú"/>
    <x v="0"/>
    <s v="V. Morales"/>
    <x v="1"/>
    <s v="Casa nueva"/>
    <n v="2632"/>
    <n v="30"/>
    <n v="5.24"/>
    <n v="75"/>
    <n v="658"/>
    <n v="10.888277761523796"/>
    <n v="41.9"/>
    <n v="25.986343106262044"/>
    <x v="3"/>
  </r>
  <r>
    <s v="HIP-100775"/>
    <s v="2025-04-17"/>
    <s v="Valparaíso"/>
    <x v="2"/>
    <s v="C. Tapia"/>
    <x v="3"/>
    <s v="Departamento nuevo"/>
    <n v="1637"/>
    <n v="15"/>
    <n v="3.92"/>
    <n v="70"/>
    <n v="491.10000000000008"/>
    <n v="8.4302183389262542"/>
    <n v="21.7"/>
    <n v="38.848932437448177"/>
    <x v="2"/>
  </r>
  <r>
    <s v="HIP-100776"/>
    <s v="2025-09-25"/>
    <s v="Temuco"/>
    <x v="3"/>
    <s v="R. Pinto"/>
    <x v="1"/>
    <s v="Departamento nuevo"/>
    <n v="7095"/>
    <n v="20"/>
    <n v="5.09"/>
    <n v="85"/>
    <n v="1064.2500000000002"/>
    <n v="40.100727197385062"/>
    <n v="80.400000000000006"/>
    <n v="49.876526364906795"/>
    <x v="2"/>
  </r>
  <r>
    <s v="HIP-100777"/>
    <s v="2025-01-04"/>
    <s v="Talcahuano"/>
    <x v="1"/>
    <s v="G. Herrera"/>
    <x v="4"/>
    <s v="Departamento nuevo"/>
    <n v="4580"/>
    <n v="25"/>
    <n v="5.04"/>
    <n v="85"/>
    <n v="687.00000000000011"/>
    <n v="22.848908957134871"/>
    <n v="52.2"/>
    <n v="43.77185623972197"/>
    <x v="2"/>
  </r>
  <r>
    <s v="HIP-100778"/>
    <s v="2025-04-15"/>
    <s v="Providencia"/>
    <x v="0"/>
    <s v="E. Castro"/>
    <x v="4"/>
    <s v="Departamento usado"/>
    <n v="16688"/>
    <n v="25"/>
    <n v="4.87"/>
    <n v="80"/>
    <n v="3337.5999999999995"/>
    <n v="77.037279165829929"/>
    <n v="285.60000000000002"/>
    <n v="26.973837242937648"/>
    <x v="2"/>
  </r>
  <r>
    <s v="HIP-100779"/>
    <s v="2025-10-14"/>
    <s v="La Florida"/>
    <x v="0"/>
    <s v="J. Cáceres"/>
    <x v="3"/>
    <s v="Departamento usado"/>
    <n v="7955"/>
    <n v="15"/>
    <n v="5.57"/>
    <n v="70"/>
    <n v="2386.5000000000005"/>
    <n v="45.706401629349401"/>
    <n v="118.5"/>
    <n v="38.570803062742108"/>
    <x v="1"/>
  </r>
  <r>
    <s v="HIP-100780"/>
    <s v="2025-10-01"/>
    <s v="Valdivia"/>
    <x v="5"/>
    <s v="M. Silva"/>
    <x v="4"/>
    <s v="Casa nueva"/>
    <n v="13053"/>
    <n v="25"/>
    <n v="4.26"/>
    <n v="70"/>
    <n v="3915.9000000000005"/>
    <n v="49.550327485403855"/>
    <n v="142.30000000000001"/>
    <n v="34.82103126170334"/>
    <x v="2"/>
  </r>
  <r>
    <s v="HIP-100781"/>
    <s v="2025-12-09"/>
    <s v="La Serena"/>
    <x v="6"/>
    <s v="T. Núñez"/>
    <x v="3"/>
    <s v="Departamento nuevo"/>
    <n v="15335"/>
    <n v="30"/>
    <n v="4.03"/>
    <n v="75"/>
    <n v="3833.75"/>
    <n v="55.10783124454349"/>
    <n v="179.9"/>
    <n v="30.632479846883541"/>
    <x v="2"/>
  </r>
  <r>
    <s v="HIP-100782"/>
    <s v="2025-05-01"/>
    <s v="Maipú"/>
    <x v="0"/>
    <s v="A. Rojas"/>
    <x v="1"/>
    <s v="Casa nueva"/>
    <n v="7164"/>
    <n v="30"/>
    <n v="4.4800000000000004"/>
    <n v="80"/>
    <n v="1432.7999999999997"/>
    <n v="28.971081226809059"/>
    <n v="75.900000000000006"/>
    <n v="38.170067492502049"/>
    <x v="0"/>
  </r>
  <r>
    <s v="HIP-100783"/>
    <s v="2025-11-09"/>
    <s v="Talca"/>
    <x v="9"/>
    <s v="D. Araya"/>
    <x v="4"/>
    <s v="Departamento usado"/>
    <n v="14699"/>
    <n v="15"/>
    <n v="5.79"/>
    <n v="85"/>
    <n v="2204.8500000000004"/>
    <n v="104.0204850004213"/>
    <n v="238.7"/>
    <n v="43.577915794060033"/>
    <x v="2"/>
  </r>
  <r>
    <s v="HIP-100784"/>
    <s v="2025-08-10"/>
    <s v="Valdivia"/>
    <x v="5"/>
    <s v="A. Rojas"/>
    <x v="4"/>
    <s v="Departamento nuevo"/>
    <n v="11643"/>
    <n v="25"/>
    <n v="4.05"/>
    <n v="80"/>
    <n v="2328.5999999999995"/>
    <n v="49.422348106897438"/>
    <n v="129.19999999999999"/>
    <n v="38.252591414007306"/>
    <x v="1"/>
  </r>
  <r>
    <s v="HIP-100785"/>
    <s v="2025-10-09"/>
    <s v="Iquique"/>
    <x v="8"/>
    <s v="J. Cáceres"/>
    <x v="4"/>
    <s v="Departamento usado"/>
    <n v="5180"/>
    <n v="30"/>
    <n v="5.28"/>
    <n v="90"/>
    <n v="517.99999999999989"/>
    <n v="25.830431007374131"/>
    <n v="61.1"/>
    <n v="42.275664496520669"/>
    <x v="0"/>
  </r>
  <r>
    <s v="HIP-100786"/>
    <s v="2025-03-11"/>
    <s v="Chillán"/>
    <x v="11"/>
    <s v="M. Silva"/>
    <x v="1"/>
    <s v="Departamento usado"/>
    <n v="3505"/>
    <n v="25"/>
    <n v="4.37"/>
    <n v="80"/>
    <n v="700.99999999999989"/>
    <n v="15.379364038490953"/>
    <n v="37.6"/>
    <n v="40.902563932156788"/>
    <x v="3"/>
  </r>
  <r>
    <s v="HIP-100787"/>
    <s v="2025-10-28"/>
    <s v="Talca"/>
    <x v="9"/>
    <s v="D. Araya"/>
    <x v="3"/>
    <s v="Departamento usado"/>
    <n v="12664"/>
    <n v="25"/>
    <n v="4"/>
    <n v="70"/>
    <n v="3799.2000000000007"/>
    <n v="46.79168021871736"/>
    <n v="155.1"/>
    <n v="30.168717097819059"/>
    <x v="2"/>
  </r>
  <r>
    <s v="HIP-100788"/>
    <s v="2025-09-22"/>
    <s v="Valdivia"/>
    <x v="5"/>
    <s v="N. Fuentes"/>
    <x v="1"/>
    <s v="Casa usada"/>
    <n v="10555"/>
    <n v="20"/>
    <n v="4.62"/>
    <n v="70"/>
    <n v="3166.5000000000005"/>
    <n v="47.223244635499164"/>
    <n v="142.30000000000001"/>
    <n v="33.185695457132226"/>
    <x v="0"/>
  </r>
  <r>
    <s v="HIP-100789"/>
    <s v="2025-06-16"/>
    <s v="Las Condes"/>
    <x v="0"/>
    <s v="L. Muñoz"/>
    <x v="3"/>
    <s v="Casa usada"/>
    <n v="2465"/>
    <n v="20"/>
    <n v="5.13"/>
    <n v="80"/>
    <n v="492.99999999999989"/>
    <n v="13.156361933790922"/>
    <n v="40.5"/>
    <n v="32.484844280965241"/>
    <x v="2"/>
  </r>
  <r>
    <s v="HIP-100790"/>
    <s v="2025-01-06"/>
    <s v="Copiapó"/>
    <x v="13"/>
    <s v="N. Fuentes"/>
    <x v="1"/>
    <s v="Casa usada"/>
    <n v="17328"/>
    <n v="25"/>
    <n v="4.46"/>
    <n v="70"/>
    <n v="5198.4000000000005"/>
    <n v="67.145160389053231"/>
    <n v="192.1"/>
    <n v="34.953232893833018"/>
    <x v="1"/>
  </r>
  <r>
    <s v="HIP-100791"/>
    <s v="2025-07-20"/>
    <s v="Maipú"/>
    <x v="0"/>
    <s v="E. Castro"/>
    <x v="4"/>
    <s v="Departamento nuevo"/>
    <n v="15386"/>
    <n v="30"/>
    <n v="5.45"/>
    <n v="85"/>
    <n v="2307.9000000000005"/>
    <n v="73.846264117256922"/>
    <n v="237.7"/>
    <n v="31.067002152821594"/>
    <x v="2"/>
  </r>
  <r>
    <s v="HIP-100792"/>
    <s v="2025-07-03"/>
    <s v="Valparaíso"/>
    <x v="2"/>
    <s v="V. Morales"/>
    <x v="0"/>
    <s v="Departamento nuevo"/>
    <n v="3720"/>
    <n v="20"/>
    <n v="5.41"/>
    <n v="75"/>
    <n v="930"/>
    <n v="19.05051218913426"/>
    <n v="46.3"/>
    <n v="41.14581466335693"/>
    <x v="1"/>
  </r>
  <r>
    <s v="HIP-100793"/>
    <s v="2025-02-13"/>
    <s v="Providencia"/>
    <x v="0"/>
    <s v="J. Cáceres"/>
    <x v="3"/>
    <s v="Casa usada"/>
    <n v="8969"/>
    <n v="30"/>
    <n v="5.1100000000000003"/>
    <n v="80"/>
    <n v="1793.7999999999995"/>
    <n v="39.001833252551521"/>
    <n v="119.1"/>
    <n v="32.747131194417733"/>
    <x v="2"/>
  </r>
  <r>
    <s v="HIP-100794"/>
    <s v="2025-12-23"/>
    <s v="Talca"/>
    <x v="9"/>
    <s v="V. Morales"/>
    <x v="0"/>
    <s v="Casa nueva"/>
    <n v="13243"/>
    <n v="15"/>
    <n v="4.83"/>
    <n v="75"/>
    <n v="3310.75"/>
    <n v="77.666848470306945"/>
    <n v="151.5"/>
    <n v="51.265246515054088"/>
    <x v="1"/>
  </r>
  <r>
    <s v="HIP-100795"/>
    <s v="2025-05-08"/>
    <s v="Maipú"/>
    <x v="0"/>
    <s v="B. Reyes"/>
    <x v="0"/>
    <s v="Departamento usado"/>
    <n v="7835"/>
    <n v="20"/>
    <n v="5.28"/>
    <n v="80"/>
    <n v="1566.9999999999995"/>
    <n v="42.341669226705811"/>
    <n v="121.1"/>
    <n v="34.964219014620816"/>
    <x v="2"/>
  </r>
  <r>
    <s v="HIP-100796"/>
    <s v="2025-02-18"/>
    <s v="Puerto Montt"/>
    <x v="10"/>
    <s v="B. Reyes"/>
    <x v="3"/>
    <s v="Departamento nuevo"/>
    <n v="7402"/>
    <n v="15"/>
    <n v="5.6"/>
    <n v="80"/>
    <n v="1480.3999999999996"/>
    <n v="48.699217302895548"/>
    <n v="85.2"/>
    <n v="57.158705754572239"/>
    <x v="3"/>
  </r>
  <r>
    <s v="HIP-100797"/>
    <s v="2025-11-17"/>
    <s v="Valparaíso"/>
    <x v="2"/>
    <s v="E. Castro"/>
    <x v="0"/>
    <s v="Casa usada"/>
    <n v="7964"/>
    <n v="20"/>
    <n v="4.78"/>
    <n v="70"/>
    <n v="2389.2000000000003"/>
    <n v="36.117076338104006"/>
    <n v="98.1"/>
    <n v="36.816591578087674"/>
    <x v="2"/>
  </r>
  <r>
    <s v="HIP-100798"/>
    <s v="2025-05-04"/>
    <s v="Valdivia"/>
    <x v="5"/>
    <s v="V. Morales"/>
    <x v="3"/>
    <s v="Casa usada"/>
    <n v="10237"/>
    <n v="20"/>
    <n v="3.97"/>
    <n v="85"/>
    <n v="1535.5500000000002"/>
    <n v="52.591624819859433"/>
    <n v="145.80000000000001"/>
    <n v="36.071073264649819"/>
    <x v="2"/>
  </r>
  <r>
    <s v="HIP-100799"/>
    <s v="2025-03-23"/>
    <s v="La Serena"/>
    <x v="6"/>
    <s v="R. Pinto"/>
    <x v="4"/>
    <s v="Departamento usado"/>
    <n v="4488"/>
    <n v="20"/>
    <n v="4.6900000000000004"/>
    <n v="70"/>
    <n v="1346.4"/>
    <n v="20.198959725034026"/>
    <n v="61.2"/>
    <n v="33.004836152016381"/>
    <x v="2"/>
  </r>
  <r>
    <s v="HIP-100800"/>
    <s v="2025-09-18"/>
    <s v="Antofagasta"/>
    <x v="7"/>
    <s v="A. Rojas"/>
    <x v="1"/>
    <s v="Departamento nuevo"/>
    <n v="13657"/>
    <n v="20"/>
    <n v="4.49"/>
    <n v="85"/>
    <n v="2048.5500000000002"/>
    <n v="73.378139729059015"/>
    <n v="175.9"/>
    <n v="41.715827020499724"/>
    <x v="2"/>
  </r>
  <r>
    <s v="HIP-100801"/>
    <s v="2025-02-05"/>
    <s v="Santiago Centro"/>
    <x v="0"/>
    <s v="F. Soto"/>
    <x v="4"/>
    <s v="Casa nueva"/>
    <n v="2756"/>
    <n v="20"/>
    <n v="4.29"/>
    <n v="90"/>
    <n v="275.59999999999997"/>
    <n v="15.412463636900391"/>
    <n v="33.299999999999997"/>
    <n v="46.283674585286462"/>
    <x v="1"/>
  </r>
  <r>
    <s v="HIP-100802"/>
    <s v="2025-12-24"/>
    <s v="Copiapó"/>
    <x v="13"/>
    <s v="M. Silva"/>
    <x v="3"/>
    <s v="Casa usada"/>
    <n v="11169"/>
    <n v="20"/>
    <n v="5.7"/>
    <n v="90"/>
    <n v="1116.8999999999999"/>
    <n v="70.287510370427839"/>
    <n v="135"/>
    <n v="52.064822496613218"/>
    <x v="2"/>
  </r>
  <r>
    <s v="HIP-100803"/>
    <s v="2025-07-03"/>
    <s v="Valparaíso"/>
    <x v="2"/>
    <s v="B. Reyes"/>
    <x v="1"/>
    <s v="Casa usada"/>
    <n v="17404"/>
    <n v="30"/>
    <n v="5.31"/>
    <n v="75"/>
    <n v="4351"/>
    <n v="72.564996590527002"/>
    <n v="269.10000000000002"/>
    <n v="26.965810698820885"/>
    <x v="2"/>
  </r>
  <r>
    <s v="HIP-100804"/>
    <s v="2025-12-07"/>
    <s v="Antofagasta"/>
    <x v="7"/>
    <s v="V. Morales"/>
    <x v="4"/>
    <s v="Casa usada"/>
    <n v="4768"/>
    <n v="30"/>
    <n v="5.43"/>
    <n v="80"/>
    <n v="953.5999999999998"/>
    <n v="21.49051654301002"/>
    <n v="72.099999999999994"/>
    <n v="29.806541668529853"/>
    <x v="2"/>
  </r>
  <r>
    <s v="HIP-100805"/>
    <s v="2025-01-06"/>
    <s v="Chillán"/>
    <x v="11"/>
    <s v="D. Araya"/>
    <x v="0"/>
    <s v="Casa nueva"/>
    <n v="5439"/>
    <n v="25"/>
    <n v="4.01"/>
    <n v="85"/>
    <n v="815.85000000000014"/>
    <n v="24.428223040356631"/>
    <n v="73.900000000000006"/>
    <n v="33.05578219263414"/>
    <x v="2"/>
  </r>
  <r>
    <s v="HIP-100806"/>
    <s v="2025-11-08"/>
    <s v="Viña del Mar"/>
    <x v="2"/>
    <s v="M. Silva"/>
    <x v="0"/>
    <s v="Departamento nuevo"/>
    <n v="1993"/>
    <n v="25"/>
    <n v="5.51"/>
    <n v="70"/>
    <n v="597.90000000000009"/>
    <n v="8.5754680544433715"/>
    <n v="28.2"/>
    <n v="30.409461185969406"/>
    <x v="1"/>
  </r>
  <r>
    <s v="HIP-100807"/>
    <s v="2025-03-11"/>
    <s v="Maipú"/>
    <x v="0"/>
    <s v="J. Cáceres"/>
    <x v="3"/>
    <s v="Departamento nuevo"/>
    <n v="8080"/>
    <n v="30"/>
    <n v="4.72"/>
    <n v="75"/>
    <n v="2020"/>
    <n v="31.502340306385033"/>
    <n v="85.4"/>
    <n v="36.887986307242429"/>
    <x v="2"/>
  </r>
  <r>
    <s v="HIP-100808"/>
    <s v="2025-04-27"/>
    <s v="Concepción"/>
    <x v="1"/>
    <s v="S. Bravo"/>
    <x v="1"/>
    <s v="Departamento usado"/>
    <n v="12005"/>
    <n v="25"/>
    <n v="4.3600000000000003"/>
    <n v="80"/>
    <n v="2400.9999999999995"/>
    <n v="52.621851380219823"/>
    <n v="148.19999999999999"/>
    <n v="35.507322118906764"/>
    <x v="2"/>
  </r>
  <r>
    <s v="HIP-100809"/>
    <s v="2025-02-09"/>
    <s v="Arica"/>
    <x v="4"/>
    <s v="J. Cáceres"/>
    <x v="3"/>
    <s v="Departamento usado"/>
    <n v="13729"/>
    <n v="20"/>
    <n v="4.78"/>
    <n v="85"/>
    <n v="2059.3500000000004"/>
    <n v="75.603365123225117"/>
    <n v="159.9"/>
    <n v="47.281654235913138"/>
    <x v="3"/>
  </r>
  <r>
    <s v="HIP-100810"/>
    <s v="2025-08-07"/>
    <s v="Arica"/>
    <x v="4"/>
    <s v="A. Rojas"/>
    <x v="0"/>
    <s v="Casa usada"/>
    <n v="2685"/>
    <n v="30"/>
    <n v="5.47"/>
    <n v="80"/>
    <n v="536.99999999999989"/>
    <n v="12.155707899173624"/>
    <n v="44"/>
    <n v="27.626608861758235"/>
    <x v="2"/>
  </r>
  <r>
    <s v="HIP-100811"/>
    <s v="2025-11-14"/>
    <s v="Iquique"/>
    <x v="8"/>
    <s v="S. Bravo"/>
    <x v="2"/>
    <s v="Casa usada"/>
    <n v="15385"/>
    <n v="25"/>
    <n v="4.25"/>
    <n v="90"/>
    <n v="1538.4999999999995"/>
    <n v="75.011766152272742"/>
    <n v="259.89999999999998"/>
    <n v="28.861779973941033"/>
    <x v="2"/>
  </r>
  <r>
    <s v="HIP-100812"/>
    <s v="2025-12-28"/>
    <s v="Providencia"/>
    <x v="0"/>
    <s v="T. Núñez"/>
    <x v="2"/>
    <s v="Casa usada"/>
    <n v="15477"/>
    <n v="20"/>
    <n v="5.33"/>
    <n v="80"/>
    <n v="3095.3999999999992"/>
    <n v="83.98701979186842"/>
    <n v="275.89999999999998"/>
    <n v="30.44110902206177"/>
    <x v="3"/>
  </r>
  <r>
    <s v="HIP-100813"/>
    <s v="2025-03-02"/>
    <s v="Providencia"/>
    <x v="0"/>
    <s v="M. Silva"/>
    <x v="4"/>
    <s v="Casa usada"/>
    <n v="17832"/>
    <n v="30"/>
    <n v="4.62"/>
    <n v="85"/>
    <n v="2674.8"/>
    <n v="77.883804182060558"/>
    <n v="318.7"/>
    <n v="24.437968052105603"/>
    <x v="1"/>
  </r>
  <r>
    <s v="HIP-100814"/>
    <s v="2025-06-02"/>
    <s v="La Serena"/>
    <x v="6"/>
    <s v="D. Araya"/>
    <x v="3"/>
    <s v="Casa usada"/>
    <n v="1610"/>
    <n v="20"/>
    <n v="5.21"/>
    <n v="90"/>
    <n v="160.99999999999997"/>
    <n v="9.7316517786092174"/>
    <n v="23.8"/>
    <n v="40.889293187433687"/>
    <x v="2"/>
  </r>
  <r>
    <s v="HIP-100815"/>
    <s v="2025-10-14"/>
    <s v="Maipú"/>
    <x v="0"/>
    <s v="G. Herrera"/>
    <x v="2"/>
    <s v="Departamento usado"/>
    <n v="1759"/>
    <n v="20"/>
    <n v="4.8099999999999996"/>
    <n v="75"/>
    <n v="439.75"/>
    <n v="8.5685946457534428"/>
    <n v="21.3"/>
    <n v="40.22814387677672"/>
    <x v="2"/>
  </r>
  <r>
    <s v="HIP-100816"/>
    <s v="2025-04-26"/>
    <s v="Talcahuano"/>
    <x v="1"/>
    <s v="P. Vega"/>
    <x v="0"/>
    <s v="Departamento usado"/>
    <n v="11454"/>
    <n v="25"/>
    <n v="5.68"/>
    <n v="70"/>
    <n v="3436.2000000000007"/>
    <n v="50.101887262381169"/>
    <n v="164.2"/>
    <n v="30.51272062264383"/>
    <x v="2"/>
  </r>
  <r>
    <s v="HIP-100817"/>
    <s v="2025-02-26"/>
    <s v="Santiago Centro"/>
    <x v="0"/>
    <s v="R. Pinto"/>
    <x v="2"/>
    <s v="Departamento nuevo"/>
    <n v="15107"/>
    <n v="25"/>
    <n v="5.43"/>
    <n v="70"/>
    <n v="4532.1000000000004"/>
    <n v="64.497813448122841"/>
    <n v="205.2"/>
    <n v="31.431682966921464"/>
    <x v="1"/>
  </r>
  <r>
    <s v="HIP-100818"/>
    <s v="2025-05-02"/>
    <s v="Providencia"/>
    <x v="0"/>
    <s v="P. Vega"/>
    <x v="4"/>
    <s v="Departamento nuevo"/>
    <n v="7519"/>
    <n v="25"/>
    <n v="4"/>
    <n v="80"/>
    <n v="1503.7999999999997"/>
    <n v="31.750441617591896"/>
    <n v="117.4"/>
    <n v="27.044669180231594"/>
    <x v="0"/>
  </r>
  <r>
    <s v="HIP-100819"/>
    <s v="2025-03-09"/>
    <s v="Santiago Centro"/>
    <x v="0"/>
    <s v="M. Silva"/>
    <x v="4"/>
    <s v="Casa nueva"/>
    <n v="12722"/>
    <n v="30"/>
    <n v="4.01"/>
    <n v="80"/>
    <n v="2544.3999999999996"/>
    <n v="48.648112565091914"/>
    <n v="148.69999999999999"/>
    <n v="32.715610332946817"/>
    <x v="2"/>
  </r>
  <r>
    <s v="HIP-100820"/>
    <s v="2025-01-04"/>
    <s v="Temuco"/>
    <x v="3"/>
    <s v="V. Morales"/>
    <x v="0"/>
    <s v="Casa nueva"/>
    <n v="4772"/>
    <n v="20"/>
    <n v="5.15"/>
    <n v="70"/>
    <n v="1431.6000000000001"/>
    <n v="22.322895717960403"/>
    <n v="69.2"/>
    <n v="32.258519823642203"/>
    <x v="1"/>
  </r>
  <r>
    <s v="HIP-100821"/>
    <s v="2025-05-08"/>
    <s v="Valparaíso"/>
    <x v="2"/>
    <s v="N. Fuentes"/>
    <x v="3"/>
    <s v="Casa nueva"/>
    <n v="8558"/>
    <n v="25"/>
    <n v="4.7"/>
    <n v="75"/>
    <n v="2139.5"/>
    <n v="36.408637838691533"/>
    <n v="131.5"/>
    <n v="27.687177063643752"/>
    <x v="3"/>
  </r>
  <r>
    <s v="HIP-100822"/>
    <s v="2025-02-26"/>
    <s v="Providencia"/>
    <x v="0"/>
    <s v="L. Muñoz"/>
    <x v="3"/>
    <s v="Casa nueva"/>
    <n v="10113"/>
    <n v="20"/>
    <n v="4.95"/>
    <n v="90"/>
    <n v="1011.2999999999997"/>
    <n v="59.816077634267351"/>
    <n v="108.8"/>
    <n v="54.978012531495722"/>
    <x v="2"/>
  </r>
  <r>
    <s v="HIP-100823"/>
    <s v="2025-05-06"/>
    <s v="Talcahuano"/>
    <x v="1"/>
    <s v="P. Vega"/>
    <x v="3"/>
    <s v="Departamento usado"/>
    <n v="16503"/>
    <n v="15"/>
    <n v="4.29"/>
    <n v="70"/>
    <n v="4950.9000000000005"/>
    <n v="87.13800421578631"/>
    <n v="268.89999999999998"/>
    <n v="32.405356718403247"/>
    <x v="2"/>
  </r>
  <r>
    <s v="HIP-100824"/>
    <s v="2025-06-28"/>
    <s v="Copiapó"/>
    <x v="13"/>
    <s v="F. Soto"/>
    <x v="4"/>
    <s v="Departamento nuevo"/>
    <n v="15378"/>
    <n v="20"/>
    <n v="4.18"/>
    <n v="85"/>
    <n v="2306.7000000000003"/>
    <n v="80.454772379613672"/>
    <n v="189.9"/>
    <n v="42.366915418437948"/>
    <x v="2"/>
  </r>
  <r>
    <s v="HIP-100825"/>
    <s v="2025-05-05"/>
    <s v="Concepción"/>
    <x v="1"/>
    <s v="E. Castro"/>
    <x v="3"/>
    <s v="Departamento nuevo"/>
    <n v="10401"/>
    <n v="30"/>
    <n v="5.78"/>
    <n v="80"/>
    <n v="2080.1999999999994"/>
    <n v="48.716622963478699"/>
    <n v="121.4"/>
    <n v="40.12901397321145"/>
    <x v="1"/>
  </r>
  <r>
    <s v="HIP-100826"/>
    <s v="2025-10-15"/>
    <s v="Talca"/>
    <x v="9"/>
    <s v="C. Tapia"/>
    <x v="1"/>
    <s v="Departamento nuevo"/>
    <n v="9366"/>
    <n v="15"/>
    <n v="4.1100000000000003"/>
    <n v="80"/>
    <n v="1873.1999999999996"/>
    <n v="55.83727278111369"/>
    <n v="139.9"/>
    <n v="39.912275040109854"/>
    <x v="2"/>
  </r>
  <r>
    <s v="HIP-100827"/>
    <s v="2025-08-12"/>
    <s v="Copiapó"/>
    <x v="13"/>
    <s v="J. Cáceres"/>
    <x v="4"/>
    <s v="Departamento usado"/>
    <n v="15228"/>
    <n v="25"/>
    <n v="4.05"/>
    <n v="70"/>
    <n v="4568.4000000000005"/>
    <n v="56.559999772425911"/>
    <n v="248.6"/>
    <n v="22.751407792608973"/>
    <x v="0"/>
  </r>
  <r>
    <s v="HIP-100828"/>
    <s v="2025-08-14"/>
    <s v="Las Condes"/>
    <x v="0"/>
    <s v="N. Fuentes"/>
    <x v="0"/>
    <s v="Departamento nuevo"/>
    <n v="4708"/>
    <n v="20"/>
    <n v="4.09"/>
    <n v="90"/>
    <n v="470.7999999999999"/>
    <n v="25.877987672831313"/>
    <n v="49.9"/>
    <n v="51.859694735132891"/>
    <x v="2"/>
  </r>
  <r>
    <s v="HIP-100829"/>
    <s v="2025-04-05"/>
    <s v="Providencia"/>
    <x v="0"/>
    <s v="L. Muñoz"/>
    <x v="4"/>
    <s v="Casa nueva"/>
    <n v="14735"/>
    <n v="25"/>
    <n v="4.57"/>
    <n v="80"/>
    <n v="2946.9999999999995"/>
    <n v="65.990774949204251"/>
    <n v="168.1"/>
    <n v="39.256856007854999"/>
    <x v="2"/>
  </r>
  <r>
    <s v="HIP-100830"/>
    <s v="2025-11-15"/>
    <s v="Concepción"/>
    <x v="1"/>
    <s v="D. Araya"/>
    <x v="2"/>
    <s v="Casa usada"/>
    <n v="3927"/>
    <n v="30"/>
    <n v="4.41"/>
    <n v="85"/>
    <n v="589.05000000000007"/>
    <n v="16.734871831441936"/>
    <n v="47.7"/>
    <n v="35.083588745161286"/>
    <x v="1"/>
  </r>
  <r>
    <s v="HIP-100831"/>
    <s v="2025-05-26"/>
    <s v="Antofagasta"/>
    <x v="7"/>
    <s v="C. Tapia"/>
    <x v="3"/>
    <s v="Departamento usado"/>
    <n v="2106"/>
    <n v="25"/>
    <n v="5.16"/>
    <n v="70"/>
    <n v="631.80000000000007"/>
    <n v="8.7560082702715771"/>
    <n v="27.1"/>
    <n v="32.309993617238291"/>
    <x v="1"/>
  </r>
  <r>
    <s v="HIP-100832"/>
    <s v="2025-09-23"/>
    <s v="Concepción"/>
    <x v="1"/>
    <s v="R. Pinto"/>
    <x v="3"/>
    <s v="Departamento usado"/>
    <n v="8529"/>
    <n v="15"/>
    <n v="4.49"/>
    <n v="80"/>
    <n v="1705.7999999999997"/>
    <n v="52.162157202243982"/>
    <n v="89.8"/>
    <n v="58.087034746374144"/>
    <x v="2"/>
  </r>
  <r>
    <s v="HIP-100833"/>
    <s v="2025-06-22"/>
    <s v="Las Condes"/>
    <x v="0"/>
    <s v="T. Núñez"/>
    <x v="3"/>
    <s v="Casa usada"/>
    <n v="10441"/>
    <n v="15"/>
    <n v="4.66"/>
    <n v="70"/>
    <n v="3132.3000000000006"/>
    <n v="56.510561200313759"/>
    <n v="112.8"/>
    <n v="50.098015248505114"/>
    <x v="2"/>
  </r>
  <r>
    <s v="HIP-100834"/>
    <s v="2025-11-01"/>
    <s v="Valdivia"/>
    <x v="5"/>
    <s v="B. Reyes"/>
    <x v="0"/>
    <s v="Casa nueva"/>
    <n v="1969"/>
    <n v="30"/>
    <n v="5.34"/>
    <n v="90"/>
    <n v="196.89999999999995"/>
    <n v="9.8846185757526239"/>
    <n v="21.6"/>
    <n v="45.762123035891769"/>
    <x v="0"/>
  </r>
  <r>
    <s v="HIP-100835"/>
    <s v="2025-09-13"/>
    <s v="Copiapó"/>
    <x v="13"/>
    <s v="E. Castro"/>
    <x v="3"/>
    <s v="Casa usada"/>
    <n v="3440"/>
    <n v="20"/>
    <n v="4.0999999999999996"/>
    <n v="70"/>
    <n v="1032.0000000000002"/>
    <n v="14.719203523269542"/>
    <n v="37.200000000000003"/>
    <n v="39.56775140663855"/>
    <x v="2"/>
  </r>
  <r>
    <s v="HIP-100836"/>
    <s v="2025-11-09"/>
    <s v="Talcahuano"/>
    <x v="1"/>
    <s v="A. Rojas"/>
    <x v="4"/>
    <s v="Departamento usado"/>
    <n v="17598"/>
    <n v="20"/>
    <n v="5.35"/>
    <n v="80"/>
    <n v="3519.599999999999"/>
    <n v="95.65469609807765"/>
    <n v="207.9"/>
    <n v="46.009954833130188"/>
    <x v="2"/>
  </r>
  <r>
    <s v="HIP-100837"/>
    <s v="2025-09-13"/>
    <s v="Temuco"/>
    <x v="3"/>
    <s v="V. Morales"/>
    <x v="3"/>
    <s v="Departamento nuevo"/>
    <n v="14347"/>
    <n v="20"/>
    <n v="4"/>
    <n v="80"/>
    <n v="2869.3999999999992"/>
    <n v="69.551998275670073"/>
    <n v="165.8"/>
    <n v="41.949335510054325"/>
    <x v="2"/>
  </r>
  <r>
    <s v="HIP-100838"/>
    <s v="2025-05-24"/>
    <s v="Antofagasta"/>
    <x v="7"/>
    <s v="B. Reyes"/>
    <x v="0"/>
    <s v="Casa nueva"/>
    <n v="5549"/>
    <n v="20"/>
    <n v="5.55"/>
    <n v="80"/>
    <n v="1109.7999999999997"/>
    <n v="30.662191740476352"/>
    <n v="66.400000000000006"/>
    <n v="46.177999609151129"/>
    <x v="2"/>
  </r>
  <r>
    <s v="HIP-100839"/>
    <s v="2025-12-25"/>
    <s v="Valdivia"/>
    <x v="5"/>
    <s v="P. Vega"/>
    <x v="4"/>
    <s v="Departamento usado"/>
    <n v="17619"/>
    <n v="25"/>
    <n v="4.8600000000000003"/>
    <n v="85"/>
    <n v="2642.8500000000004"/>
    <n v="86.331868890613492"/>
    <n v="226.3"/>
    <n v="38.149301321526067"/>
    <x v="1"/>
  </r>
  <r>
    <s v="HIP-100840"/>
    <s v="2025-02-26"/>
    <s v="Valparaíso"/>
    <x v="2"/>
    <s v="B. Reyes"/>
    <x v="3"/>
    <s v="Departamento nuevo"/>
    <n v="11530"/>
    <n v="25"/>
    <n v="4.8"/>
    <n v="75"/>
    <n v="2882.5"/>
    <n v="49.549912294731406"/>
    <n v="152.19999999999999"/>
    <n v="32.555789943975959"/>
    <x v="0"/>
  </r>
  <r>
    <s v="HIP-100841"/>
    <s v="2025-03-13"/>
    <s v="La Serena"/>
    <x v="6"/>
    <s v="C. Tapia"/>
    <x v="4"/>
    <s v="Departamento nuevo"/>
    <n v="4169"/>
    <n v="25"/>
    <n v="5.14"/>
    <n v="80"/>
    <n v="833.79999999999984"/>
    <n v="19.770256172955001"/>
    <n v="64.2"/>
    <n v="30.794791546658878"/>
    <x v="2"/>
  </r>
  <r>
    <s v="HIP-100842"/>
    <s v="2025-01-06"/>
    <s v="Chillán"/>
    <x v="11"/>
    <s v="L. Muñoz"/>
    <x v="3"/>
    <s v="Casa nueva"/>
    <n v="10024"/>
    <n v="25"/>
    <n v="5.08"/>
    <n v="90"/>
    <n v="1002.3999999999997"/>
    <n v="53.160725850029145"/>
    <n v="113.3"/>
    <n v="46.92032290382096"/>
    <x v="3"/>
  </r>
  <r>
    <s v="HIP-100843"/>
    <s v="2025-12-27"/>
    <s v="La Serena"/>
    <x v="6"/>
    <s v="G. Herrera"/>
    <x v="2"/>
    <s v="Departamento usado"/>
    <n v="11154"/>
    <n v="25"/>
    <n v="4.58"/>
    <n v="80"/>
    <n v="2230.7999999999997"/>
    <n v="50.004099543725268"/>
    <n v="160.9"/>
    <n v="31.077749871799419"/>
    <x v="2"/>
  </r>
  <r>
    <s v="HIP-100844"/>
    <s v="2025-08-23"/>
    <s v="Chillán"/>
    <x v="11"/>
    <s v="N. Fuentes"/>
    <x v="0"/>
    <s v="Casa usada"/>
    <n v="9982"/>
    <n v="30"/>
    <n v="5.61"/>
    <n v="75"/>
    <n v="2495.5"/>
    <n v="43.025642760554746"/>
    <n v="109.3"/>
    <n v="39.364723477177257"/>
    <x v="1"/>
  </r>
  <r>
    <s v="HIP-100845"/>
    <s v="2025-10-05"/>
    <s v="Valparaíso"/>
    <x v="2"/>
    <s v="A. Rojas"/>
    <x v="2"/>
    <s v="Departamento nuevo"/>
    <n v="10831"/>
    <n v="25"/>
    <n v="3.91"/>
    <n v="90"/>
    <n v="1083.0999999999997"/>
    <n v="50.969833836932438"/>
    <n v="174.7"/>
    <n v="29.175634709177128"/>
    <x v="3"/>
  </r>
  <r>
    <s v="HIP-100846"/>
    <s v="2025-06-22"/>
    <s v="La Florida"/>
    <x v="0"/>
    <s v="V. Morales"/>
    <x v="1"/>
    <s v="Casa usada"/>
    <n v="13882"/>
    <n v="25"/>
    <n v="4.84"/>
    <n v="80"/>
    <n v="2776.3999999999992"/>
    <n v="63.891187189950479"/>
    <n v="182.2"/>
    <n v="35.06651327659192"/>
    <x v="2"/>
  </r>
  <r>
    <s v="HIP-100847"/>
    <s v="2025-12-12"/>
    <s v="Talcahuano"/>
    <x v="1"/>
    <s v="R. Pinto"/>
    <x v="1"/>
    <s v="Departamento nuevo"/>
    <n v="12595"/>
    <n v="15"/>
    <n v="5.43"/>
    <n v="90"/>
    <n v="1259.4999999999998"/>
    <n v="92.199967662643289"/>
    <n v="209.9"/>
    <n v="43.92566348863425"/>
    <x v="2"/>
  </r>
  <r>
    <s v="HIP-100848"/>
    <s v="2025-11-18"/>
    <s v="Las Condes"/>
    <x v="0"/>
    <s v="B. Reyes"/>
    <x v="2"/>
    <s v="Departamento nuevo"/>
    <n v="12982"/>
    <n v="30"/>
    <n v="5.67"/>
    <n v="80"/>
    <n v="2596.3999999999996"/>
    <n v="60.080769472271975"/>
    <n v="147.69999999999999"/>
    <n v="40.677569040129981"/>
    <x v="2"/>
  </r>
  <r>
    <s v="HIP-100849"/>
    <s v="2025-08-18"/>
    <s v="Iquique"/>
    <x v="8"/>
    <s v="J. Cáceres"/>
    <x v="1"/>
    <s v="Departamento nuevo"/>
    <n v="1631"/>
    <n v="15"/>
    <n v="4.2699999999999996"/>
    <n v="70"/>
    <n v="489.30000000000007"/>
    <n v="8.6003237122438829"/>
    <n v="18.100000000000001"/>
    <n v="47.515600620131949"/>
    <x v="1"/>
  </r>
  <r>
    <s v="HIP-100850"/>
    <s v="2025-01-20"/>
    <s v="Arica"/>
    <x v="4"/>
    <s v="L. Muñoz"/>
    <x v="1"/>
    <s v="Departamento usado"/>
    <n v="4867"/>
    <n v="30"/>
    <n v="5.48"/>
    <n v="85"/>
    <n v="730.05000000000007"/>
    <n v="23.437261749091238"/>
    <n v="51.6"/>
    <n v="45.421049901339607"/>
    <x v="2"/>
  </r>
  <r>
    <s v="HIP-100851"/>
    <s v="2025-04-13"/>
    <s v="Talca"/>
    <x v="9"/>
    <s v="T. Núñez"/>
    <x v="3"/>
    <s v="Departamento nuevo"/>
    <n v="9394"/>
    <n v="30"/>
    <n v="5.04"/>
    <n v="80"/>
    <n v="1878.7999999999995"/>
    <n v="40.527137096797993"/>
    <n v="123.5"/>
    <n v="32.815495624937647"/>
    <x v="0"/>
  </r>
  <r>
    <s v="HIP-100852"/>
    <s v="2025-10-18"/>
    <s v="Copiapó"/>
    <x v="13"/>
    <s v="J. Cáceres"/>
    <x v="0"/>
    <s v="Casa usada"/>
    <n v="17476"/>
    <n v="25"/>
    <n v="4.63"/>
    <n v="80"/>
    <n v="3495.1999999999994"/>
    <n v="78.74504006420905"/>
    <n v="188.5"/>
    <n v="41.774557063240877"/>
    <x v="2"/>
  </r>
  <r>
    <s v="HIP-100853"/>
    <s v="2025-09-26"/>
    <s v="Talcahuano"/>
    <x v="1"/>
    <s v="F. Soto"/>
    <x v="1"/>
    <s v="Departamento nuevo"/>
    <n v="4996"/>
    <n v="25"/>
    <n v="5.33"/>
    <n v="75"/>
    <n v="1249"/>
    <n v="22.631009633274587"/>
    <n v="53.4"/>
    <n v="42.380167852574132"/>
    <x v="0"/>
  </r>
  <r>
    <s v="HIP-100854"/>
    <s v="2025-11-14"/>
    <s v="Talcahuano"/>
    <x v="1"/>
    <s v="N. Fuentes"/>
    <x v="2"/>
    <s v="Casa usada"/>
    <n v="6775"/>
    <n v="30"/>
    <n v="5.36"/>
    <n v="80"/>
    <n v="1354.9999999999998"/>
    <n v="30.299776724942561"/>
    <n v="108.6"/>
    <n v="27.900346892212301"/>
    <x v="2"/>
  </r>
  <r>
    <s v="HIP-100855"/>
    <s v="2025-02-01"/>
    <s v="Chillán"/>
    <x v="11"/>
    <s v="N. Fuentes"/>
    <x v="1"/>
    <s v="Casa usada"/>
    <n v="12861"/>
    <n v="25"/>
    <n v="4.38"/>
    <n v="85"/>
    <n v="1929.1500000000003"/>
    <n v="60.020583291271528"/>
    <n v="170.1"/>
    <n v="35.285469307037935"/>
    <x v="2"/>
  </r>
  <r>
    <s v="HIP-100856"/>
    <s v="2025-01-25"/>
    <s v="Chillán"/>
    <x v="11"/>
    <s v="M. Silva"/>
    <x v="3"/>
    <s v="Departamento usado"/>
    <n v="3419"/>
    <n v="25"/>
    <n v="4.28"/>
    <n v="80"/>
    <n v="683.79999999999984"/>
    <n v="14.863604151050898"/>
    <n v="38.1"/>
    <n v="39.012084385960364"/>
    <x v="1"/>
  </r>
  <r>
    <s v="HIP-100857"/>
    <s v="2025-01-19"/>
    <s v="Arica"/>
    <x v="4"/>
    <s v="T. Núñez"/>
    <x v="4"/>
    <s v="Casa nueva"/>
    <n v="16557"/>
    <n v="20"/>
    <n v="5.6"/>
    <n v="75"/>
    <n v="4139.25"/>
    <n v="86.122996587321495"/>
    <n v="284.60000000000002"/>
    <n v="30.261066966732781"/>
    <x v="2"/>
  </r>
  <r>
    <s v="HIP-100858"/>
    <s v="2025-07-21"/>
    <s v="Maipú"/>
    <x v="0"/>
    <s v="G. Herrera"/>
    <x v="0"/>
    <s v="Casa nueva"/>
    <n v="9861"/>
    <n v="25"/>
    <n v="4.95"/>
    <n v="90"/>
    <n v="986.0999999999998"/>
    <n v="51.623572901079804"/>
    <n v="113.4"/>
    <n v="45.52343289336843"/>
    <x v="2"/>
  </r>
  <r>
    <s v="HIP-100859"/>
    <s v="2025-07-09"/>
    <s v="Talcahuano"/>
    <x v="1"/>
    <s v="V. Morales"/>
    <x v="2"/>
    <s v="Casa usada"/>
    <n v="14261"/>
    <n v="25"/>
    <n v="4.28"/>
    <n v="80"/>
    <n v="2852.1999999999994"/>
    <n v="61.997618835371988"/>
    <n v="229.7"/>
    <n v="26.990691700205481"/>
    <x v="3"/>
  </r>
  <r>
    <s v="HIP-100860"/>
    <s v="2025-12-04"/>
    <s v="Santiago Centro"/>
    <x v="0"/>
    <s v="P. Vega"/>
    <x v="3"/>
    <s v="Casa usada"/>
    <n v="9227"/>
    <n v="25"/>
    <n v="4.8499999999999996"/>
    <n v="80"/>
    <n v="1845.3999999999996"/>
    <n v="42.509457240095074"/>
    <n v="141.19999999999999"/>
    <n v="30.105847903750053"/>
    <x v="3"/>
  </r>
  <r>
    <s v="HIP-100861"/>
    <s v="2025-11-23"/>
    <s v="Valdivia"/>
    <x v="5"/>
    <s v="N. Fuentes"/>
    <x v="0"/>
    <s v="Departamento usado"/>
    <n v="8464"/>
    <n v="25"/>
    <n v="5.59"/>
    <n v="80"/>
    <n v="1692.7999999999997"/>
    <n v="41.945811385966678"/>
    <n v="94.3"/>
    <n v="44.481242190844831"/>
    <x v="2"/>
  </r>
  <r>
    <s v="HIP-100862"/>
    <s v="2025-04-18"/>
    <s v="Viña del Mar"/>
    <x v="2"/>
    <s v="A. Rojas"/>
    <x v="1"/>
    <s v="Casa nueva"/>
    <n v="3302"/>
    <n v="25"/>
    <n v="5.39"/>
    <n v="90"/>
    <n v="330.19999999999993"/>
    <n v="18.054747232188102"/>
    <n v="39.9"/>
    <n v="45.24999306312808"/>
    <x v="2"/>
  </r>
  <r>
    <s v="HIP-100863"/>
    <s v="2025-06-23"/>
    <s v="Talcahuano"/>
    <x v="1"/>
    <s v="P. Vega"/>
    <x v="3"/>
    <s v="Casa nueva"/>
    <n v="13892"/>
    <n v="20"/>
    <n v="4.68"/>
    <n v="80"/>
    <n v="2778.3999999999992"/>
    <n v="71.394528803094545"/>
    <n v="236.7"/>
    <n v="30.162454078197946"/>
    <x v="2"/>
  </r>
  <r>
    <s v="HIP-100864"/>
    <s v="2025-03-09"/>
    <s v="Concepción"/>
    <x v="1"/>
    <s v="E. Castro"/>
    <x v="3"/>
    <s v="Casa nueva"/>
    <n v="12502"/>
    <n v="30"/>
    <n v="4.2300000000000004"/>
    <n v="70"/>
    <n v="3750.6000000000004"/>
    <n v="42.949223225015686"/>
    <n v="208.5"/>
    <n v="20.599147829743732"/>
    <x v="2"/>
  </r>
  <r>
    <s v="HIP-100865"/>
    <s v="2025-08-26"/>
    <s v="Santiago Centro"/>
    <x v="0"/>
    <s v="L. Muñoz"/>
    <x v="0"/>
    <s v="Casa usada"/>
    <n v="4911"/>
    <n v="15"/>
    <n v="4.7"/>
    <n v="90"/>
    <n v="491.09999999999991"/>
    <n v="34.265465849625777"/>
    <n v="66.2"/>
    <n v="51.760522431458881"/>
    <x v="2"/>
  </r>
  <r>
    <s v="HIP-100866"/>
    <s v="2025-06-04"/>
    <s v="Puerto Montt"/>
    <x v="10"/>
    <s v="V. Morales"/>
    <x v="0"/>
    <s v="Casa usada"/>
    <n v="16662"/>
    <n v="25"/>
    <n v="3.98"/>
    <n v="85"/>
    <n v="2499.3000000000002"/>
    <n v="74.599636941934364"/>
    <n v="191.9"/>
    <n v="38.874224565885548"/>
    <x v="2"/>
  </r>
  <r>
    <s v="HIP-100867"/>
    <s v="2025-07-26"/>
    <s v="Temuco"/>
    <x v="3"/>
    <s v="G. Herrera"/>
    <x v="0"/>
    <s v="Casa usada"/>
    <n v="13250"/>
    <n v="15"/>
    <n v="4.42"/>
    <n v="75"/>
    <n v="3312.5"/>
    <n v="75.615533856858491"/>
    <n v="172.5"/>
    <n v="43.835092090932463"/>
    <x v="3"/>
  </r>
  <r>
    <s v="HIP-100868"/>
    <s v="2025-09-08"/>
    <s v="Rancagua"/>
    <x v="12"/>
    <s v="P. Vega"/>
    <x v="2"/>
    <s v="Casa nueva"/>
    <n v="14131"/>
    <n v="30"/>
    <n v="5.73"/>
    <n v="75"/>
    <n v="3532.75"/>
    <n v="61.713922655104703"/>
    <n v="200.1"/>
    <n v="30.841540557273717"/>
    <x v="3"/>
  </r>
  <r>
    <s v="HIP-100869"/>
    <s v="2025-09-27"/>
    <s v="La Florida"/>
    <x v="0"/>
    <s v="S. Bravo"/>
    <x v="4"/>
    <s v="Departamento usado"/>
    <n v="13991"/>
    <n v="25"/>
    <n v="5.45"/>
    <n v="80"/>
    <n v="2798.1999999999994"/>
    <n v="68.399772758835098"/>
    <n v="178"/>
    <n v="38.426838628559047"/>
    <x v="2"/>
  </r>
  <r>
    <s v="HIP-100870"/>
    <s v="2025-12-17"/>
    <s v="Antofagasta"/>
    <x v="7"/>
    <s v="L. Muñoz"/>
    <x v="1"/>
    <s v="Departamento nuevo"/>
    <n v="7674"/>
    <n v="25"/>
    <n v="5.33"/>
    <n v="80"/>
    <n v="1534.7999999999997"/>
    <n v="37.079341964398012"/>
    <n v="116.4"/>
    <n v="31.85510478041066"/>
    <x v="1"/>
  </r>
  <r>
    <s v="HIP-100871"/>
    <s v="2025-07-07"/>
    <s v="Providencia"/>
    <x v="0"/>
    <s v="S. Bravo"/>
    <x v="0"/>
    <s v="Casa nueva"/>
    <n v="7816"/>
    <n v="30"/>
    <n v="4.3899999999999997"/>
    <n v="85"/>
    <n v="1172.4000000000001"/>
    <n v="33.22931983008889"/>
    <n v="119.1"/>
    <n v="27.900352502173714"/>
    <x v="1"/>
  </r>
  <r>
    <s v="HIP-100872"/>
    <s v="2025-10-02"/>
    <s v="Puerto Montt"/>
    <x v="10"/>
    <s v="B. Reyes"/>
    <x v="3"/>
    <s v="Departamento nuevo"/>
    <n v="14635"/>
    <n v="20"/>
    <n v="5.31"/>
    <n v="85"/>
    <n v="2195.2500000000005"/>
    <n v="84.242045701995337"/>
    <n v="195.1"/>
    <n v="43.17890604920315"/>
    <x v="2"/>
  </r>
  <r>
    <s v="HIP-100873"/>
    <s v="2025-02-02"/>
    <s v="Valdivia"/>
    <x v="5"/>
    <s v="G. Herrera"/>
    <x v="3"/>
    <s v="Departamento usado"/>
    <n v="4034"/>
    <n v="20"/>
    <n v="4.17"/>
    <n v="80"/>
    <n v="806.79999999999984"/>
    <n v="19.846492130908533"/>
    <n v="62.1"/>
    <n v="31.958924526422759"/>
    <x v="2"/>
  </r>
  <r>
    <s v="HIP-100874"/>
    <s v="2025-03-25"/>
    <s v="La Serena"/>
    <x v="6"/>
    <s v="L. Muñoz"/>
    <x v="2"/>
    <s v="Casa usada"/>
    <n v="12213"/>
    <n v="20"/>
    <n v="4.3"/>
    <n v="70"/>
    <n v="3663.9000000000005"/>
    <n v="53.167249050235384"/>
    <n v="215.1"/>
    <n v="24.717456555200087"/>
    <x v="2"/>
  </r>
  <r>
    <s v="HIP-100875"/>
    <s v="2025-03-01"/>
    <s v="Temuco"/>
    <x v="3"/>
    <s v="B. Reyes"/>
    <x v="1"/>
    <s v="Casa usada"/>
    <n v="17694"/>
    <n v="20"/>
    <n v="3.96"/>
    <n v="85"/>
    <n v="2654.1000000000004"/>
    <n v="90.822147665783618"/>
    <n v="250.8"/>
    <n v="36.212977538191232"/>
    <x v="2"/>
  </r>
  <r>
    <s v="HIP-100876"/>
    <s v="2025-06-25"/>
    <s v="Las Condes"/>
    <x v="0"/>
    <s v="C. Tapia"/>
    <x v="0"/>
    <s v="Departamento usado"/>
    <n v="1534"/>
    <n v="25"/>
    <n v="4.2300000000000004"/>
    <n v="85"/>
    <n v="230.10000000000002"/>
    <n v="7.0491293101371317"/>
    <n v="18.5"/>
    <n v="38.103401676416922"/>
    <x v="2"/>
  </r>
  <r>
    <s v="HIP-100877"/>
    <s v="2025-10-17"/>
    <s v="Iquique"/>
    <x v="8"/>
    <s v="N. Fuentes"/>
    <x v="0"/>
    <s v="Casa usada"/>
    <n v="7294"/>
    <n v="25"/>
    <n v="5.17"/>
    <n v="80"/>
    <n v="1458.7999999999997"/>
    <n v="34.692440921308254"/>
    <n v="93.7"/>
    <n v="37.025016991791091"/>
    <x v="2"/>
  </r>
  <r>
    <s v="HIP-100878"/>
    <s v="2025-03-19"/>
    <s v="Santiago Centro"/>
    <x v="0"/>
    <s v="E. Castro"/>
    <x v="1"/>
    <s v="Casa usada"/>
    <n v="14055"/>
    <n v="25"/>
    <n v="5.68"/>
    <n v="70"/>
    <n v="4216.5000000000009"/>
    <n v="61.479136150931318"/>
    <n v="205.9"/>
    <n v="29.858735381705348"/>
    <x v="1"/>
  </r>
  <r>
    <s v="HIP-100879"/>
    <s v="2025-04-07"/>
    <s v="Talca"/>
    <x v="9"/>
    <s v="C. Tapia"/>
    <x v="0"/>
    <s v="Casa usada"/>
    <n v="4801"/>
    <n v="20"/>
    <n v="5.0599999999999996"/>
    <n v="90"/>
    <n v="480.09999999999991"/>
    <n v="28.659439328265297"/>
    <n v="58.1"/>
    <n v="49.327778534019437"/>
    <x v="2"/>
  </r>
  <r>
    <s v="HIP-100880"/>
    <s v="2025-01-13"/>
    <s v="Santiago Centro"/>
    <x v="0"/>
    <s v="S. Bravo"/>
    <x v="0"/>
    <s v="Departamento nuevo"/>
    <n v="16705"/>
    <n v="20"/>
    <n v="5.0599999999999996"/>
    <n v="90"/>
    <n v="1670.4999999999995"/>
    <n v="99.720044569604624"/>
    <n v="193.9"/>
    <n v="51.42859441444282"/>
    <x v="1"/>
  </r>
  <r>
    <s v="HIP-100881"/>
    <s v="2025-08-17"/>
    <s v="Talca"/>
    <x v="9"/>
    <s v="D. Araya"/>
    <x v="3"/>
    <s v="Casa nueva"/>
    <n v="7610"/>
    <n v="25"/>
    <n v="5.3"/>
    <n v="70"/>
    <n v="2283.0000000000005"/>
    <n v="32.079257724563114"/>
    <n v="88.8"/>
    <n v="36.125290230363866"/>
    <x v="2"/>
  </r>
  <r>
    <s v="HIP-100882"/>
    <s v="2025-07-11"/>
    <s v="Iquique"/>
    <x v="8"/>
    <s v="J. Cáceres"/>
    <x v="3"/>
    <s v="Casa nueva"/>
    <n v="8087"/>
    <n v="20"/>
    <n v="5.72"/>
    <n v="80"/>
    <n v="1617.3999999999996"/>
    <n v="45.31126292827993"/>
    <n v="111.8"/>
    <n v="40.528857717602804"/>
    <x v="2"/>
  </r>
  <r>
    <s v="HIP-100883"/>
    <s v="2025-09-13"/>
    <s v="Talcahuano"/>
    <x v="1"/>
    <s v="J. Cáceres"/>
    <x v="0"/>
    <s v="Casa usada"/>
    <n v="1552"/>
    <n v="30"/>
    <n v="4.5599999999999996"/>
    <n v="80"/>
    <n v="310.39999999999992"/>
    <n v="6.3353459876792719"/>
    <n v="18.399999999999999"/>
    <n v="34.431228193909092"/>
    <x v="2"/>
  </r>
  <r>
    <s v="HIP-100884"/>
    <s v="2025-03-18"/>
    <s v="Puerto Montt"/>
    <x v="10"/>
    <s v="G. Herrera"/>
    <x v="4"/>
    <s v="Casa usada"/>
    <n v="11460"/>
    <n v="15"/>
    <n v="5.79"/>
    <n v="85"/>
    <n v="1719.0000000000002"/>
    <n v="81.099037900865937"/>
    <n v="154.9"/>
    <n v="52.355737831417649"/>
    <x v="1"/>
  </r>
  <r>
    <s v="HIP-100885"/>
    <s v="2025-09-21"/>
    <s v="Puerto Montt"/>
    <x v="10"/>
    <s v="D. Araya"/>
    <x v="4"/>
    <s v="Departamento usado"/>
    <n v="16300"/>
    <n v="25"/>
    <n v="5.51"/>
    <n v="75"/>
    <n v="4075"/>
    <n v="75.145220389628136"/>
    <n v="244.7"/>
    <n v="30.709121532336798"/>
    <x v="2"/>
  </r>
  <r>
    <s v="HIP-100886"/>
    <s v="2025-05-06"/>
    <s v="Antofagasta"/>
    <x v="7"/>
    <s v="M. Silva"/>
    <x v="3"/>
    <s v="Casa nueva"/>
    <n v="8141"/>
    <n v="15"/>
    <n v="4.75"/>
    <n v="90"/>
    <n v="814.0999999999998"/>
    <n v="56.990966778716761"/>
    <n v="142.4"/>
    <n v="40.021746333368505"/>
    <x v="3"/>
  </r>
  <r>
    <s v="HIP-100887"/>
    <s v="2025-10-25"/>
    <s v="Viña del Mar"/>
    <x v="2"/>
    <s v="A. Rojas"/>
    <x v="0"/>
    <s v="Departamento usado"/>
    <n v="14183"/>
    <n v="30"/>
    <n v="5.45"/>
    <n v="80"/>
    <n v="2836.5999999999995"/>
    <n v="64.06811778316758"/>
    <n v="178.6"/>
    <n v="35.872406373554078"/>
    <x v="2"/>
  </r>
  <r>
    <s v="HIP-100888"/>
    <s v="2025-08-14"/>
    <s v="Chillán"/>
    <x v="11"/>
    <s v="E. Castro"/>
    <x v="3"/>
    <s v="Casa nueva"/>
    <n v="13724"/>
    <n v="20"/>
    <n v="5.28"/>
    <n v="85"/>
    <n v="2058.6000000000004"/>
    <n v="78.802250829166226"/>
    <n v="237.5"/>
    <n v="33.179895085964731"/>
    <x v="2"/>
  </r>
  <r>
    <s v="HIP-100889"/>
    <s v="2025-03-24"/>
    <s v="Valdivia"/>
    <x v="5"/>
    <s v="A. Rojas"/>
    <x v="1"/>
    <s v="Casa usada"/>
    <n v="13832"/>
    <n v="30"/>
    <n v="4.3099999999999996"/>
    <n v="80"/>
    <n v="2766.3999999999992"/>
    <n v="54.825489976998156"/>
    <n v="150.19999999999999"/>
    <n v="36.501657774299709"/>
    <x v="2"/>
  </r>
  <r>
    <s v="HIP-100890"/>
    <s v="2025-05-08"/>
    <s v="Valparaíso"/>
    <x v="2"/>
    <s v="J. Cáceres"/>
    <x v="4"/>
    <s v="Departamento usado"/>
    <n v="11161"/>
    <n v="25"/>
    <n v="5.17"/>
    <n v="90"/>
    <n v="1116.0999999999997"/>
    <n v="59.720677921999126"/>
    <n v="144.30000000000001"/>
    <n v="41.386471186416578"/>
    <x v="2"/>
  </r>
  <r>
    <s v="HIP-100891"/>
    <s v="2025-08-02"/>
    <s v="Chillán"/>
    <x v="11"/>
    <s v="N. Fuentes"/>
    <x v="3"/>
    <s v="Departamento nuevo"/>
    <n v="15926"/>
    <n v="30"/>
    <n v="4.6399999999999997"/>
    <n v="80"/>
    <n v="3185.1999999999994"/>
    <n v="65.619914913733993"/>
    <n v="205.5"/>
    <n v="31.93183207480973"/>
    <x v="2"/>
  </r>
  <r>
    <s v="HIP-100892"/>
    <s v="2025-09-20"/>
    <s v="Las Condes"/>
    <x v="0"/>
    <s v="E. Castro"/>
    <x v="1"/>
    <s v="Departamento usado"/>
    <n v="3921"/>
    <n v="30"/>
    <n v="4.2300000000000004"/>
    <n v="70"/>
    <n v="1176.3000000000002"/>
    <n v="13.470157116084346"/>
    <n v="43.8"/>
    <n v="30.753783370055586"/>
    <x v="2"/>
  </r>
  <r>
    <s v="HIP-100893"/>
    <s v="2025-04-18"/>
    <s v="Antofagasta"/>
    <x v="7"/>
    <s v="N. Fuentes"/>
    <x v="1"/>
    <s v="Casa nueva"/>
    <n v="4902"/>
    <n v="20"/>
    <n v="5.33"/>
    <n v="75"/>
    <n v="1225.5"/>
    <n v="24.938479539381355"/>
    <n v="79.400000000000006"/>
    <n v="31.4086644072813"/>
    <x v="2"/>
  </r>
  <r>
    <s v="HIP-100894"/>
    <s v="2025-09-08"/>
    <s v="Copiapó"/>
    <x v="13"/>
    <s v="J. Cáceres"/>
    <x v="2"/>
    <s v="Departamento usado"/>
    <n v="6898"/>
    <n v="20"/>
    <n v="3.91"/>
    <n v="70"/>
    <n v="2069.4"/>
    <n v="29.031883060577041"/>
    <n v="80.099999999999994"/>
    <n v="36.244548140545625"/>
    <x v="2"/>
  </r>
  <r>
    <s v="HIP-100895"/>
    <s v="2025-07-02"/>
    <s v="Maipú"/>
    <x v="0"/>
    <s v="T. Núñez"/>
    <x v="0"/>
    <s v="Departamento usado"/>
    <n v="17826"/>
    <n v="20"/>
    <n v="5.56"/>
    <n v="75"/>
    <n v="4456.5"/>
    <n v="92.420746509632892"/>
    <n v="323.89999999999998"/>
    <n v="28.533728468549828"/>
    <x v="2"/>
  </r>
  <r>
    <s v="HIP-100896"/>
    <s v="2025-03-03"/>
    <s v="Copiapó"/>
    <x v="13"/>
    <s v="J. Cáceres"/>
    <x v="3"/>
    <s v="Departamento usado"/>
    <n v="14011"/>
    <n v="30"/>
    <n v="4.16"/>
    <n v="70"/>
    <n v="4203.3"/>
    <n v="47.732642218106065"/>
    <n v="157.6"/>
    <n v="30.287209529255115"/>
    <x v="0"/>
  </r>
  <r>
    <s v="HIP-100897"/>
    <s v="2025-02-14"/>
    <s v="La Serena"/>
    <x v="6"/>
    <s v="D. Araya"/>
    <x v="0"/>
    <s v="Departamento usado"/>
    <n v="12451"/>
    <n v="30"/>
    <n v="4.12"/>
    <n v="90"/>
    <n v="1245.0999999999997"/>
    <n v="54.276816756678365"/>
    <n v="177.4"/>
    <n v="30.595725341983293"/>
    <x v="2"/>
  </r>
  <r>
    <s v="HIP-100898"/>
    <s v="2025-06-21"/>
    <s v="Iquique"/>
    <x v="8"/>
    <s v="P. Vega"/>
    <x v="4"/>
    <s v="Casa nueva"/>
    <n v="9043"/>
    <n v="15"/>
    <n v="4.0599999999999996"/>
    <n v="80"/>
    <n v="1808.5999999999997"/>
    <n v="53.729763239042931"/>
    <n v="109.4"/>
    <n v="49.113129103329918"/>
    <x v="3"/>
  </r>
  <r>
    <s v="HIP-100899"/>
    <s v="2025-03-18"/>
    <s v="Arica"/>
    <x v="4"/>
    <s v="R. Pinto"/>
    <x v="4"/>
    <s v="Departamento usado"/>
    <n v="10774"/>
    <n v="30"/>
    <n v="4.49"/>
    <n v="75"/>
    <n v="2693.5"/>
    <n v="40.894707956734152"/>
    <n v="155.30000000000001"/>
    <n v="26.33271600562405"/>
    <x v="2"/>
  </r>
  <r>
    <s v="HIP-100900"/>
    <s v="2025-02-02"/>
    <s v="Las Condes"/>
    <x v="0"/>
    <s v="E. Castro"/>
    <x v="3"/>
    <s v="Departamento usado"/>
    <n v="3147"/>
    <n v="20"/>
    <n v="5.49"/>
    <n v="75"/>
    <n v="786.75"/>
    <n v="16.222532428408403"/>
    <n v="45.3"/>
    <n v="35.81132986403621"/>
    <x v="2"/>
  </r>
  <r>
    <s v="HIP-100901"/>
    <s v="2025-03-27"/>
    <s v="Santiago Centro"/>
    <x v="0"/>
    <s v="S. Bravo"/>
    <x v="2"/>
    <s v="Departamento usado"/>
    <n v="10173"/>
    <n v="30"/>
    <n v="5.78"/>
    <n v="70"/>
    <n v="3051.9000000000005"/>
    <n v="41.692618953132893"/>
    <n v="174.4"/>
    <n v="23.90631820707161"/>
    <x v="3"/>
  </r>
  <r>
    <s v="HIP-100902"/>
    <s v="2025-05-01"/>
    <s v="Maipú"/>
    <x v="0"/>
    <s v="D. Araya"/>
    <x v="1"/>
    <s v="Casa nueva"/>
    <n v="17062"/>
    <n v="20"/>
    <n v="5.0999999999999996"/>
    <n v="75"/>
    <n v="4265.5"/>
    <n v="85.15974016215803"/>
    <n v="193.6"/>
    <n v="43.98746909202378"/>
    <x v="2"/>
  </r>
  <r>
    <s v="HIP-100903"/>
    <s v="2025-11-02"/>
    <s v="Antofagasta"/>
    <x v="7"/>
    <s v="E. Castro"/>
    <x v="3"/>
    <s v="Casa usada"/>
    <n v="3983"/>
    <n v="20"/>
    <n v="5.59"/>
    <n v="70"/>
    <n v="1194.9000000000001"/>
    <n v="19.32098641057587"/>
    <n v="49.3"/>
    <n v="39.190641806441931"/>
    <x v="2"/>
  </r>
  <r>
    <s v="HIP-100904"/>
    <s v="2025-04-24"/>
    <s v="La Florida"/>
    <x v="0"/>
    <s v="V. Morales"/>
    <x v="1"/>
    <s v="Departamento usado"/>
    <n v="16216"/>
    <n v="30"/>
    <n v="4.83"/>
    <n v="80"/>
    <n v="3243.1999999999994"/>
    <n v="68.299226746132717"/>
    <n v="238.8"/>
    <n v="28.601016225348708"/>
    <x v="2"/>
  </r>
  <r>
    <s v="HIP-100905"/>
    <s v="2025-11-26"/>
    <s v="Valparaíso"/>
    <x v="2"/>
    <s v="D. Araya"/>
    <x v="4"/>
    <s v="Casa usada"/>
    <n v="14916"/>
    <n v="20"/>
    <n v="4.97"/>
    <n v="80"/>
    <n v="2983.1999999999994"/>
    <n v="78.553574835551672"/>
    <n v="199.6"/>
    <n v="39.355498414605044"/>
    <x v="3"/>
  </r>
  <r>
    <s v="HIP-100906"/>
    <s v="2025-12-18"/>
    <s v="Chillán"/>
    <x v="11"/>
    <s v="C. Tapia"/>
    <x v="4"/>
    <s v="Casa usada"/>
    <n v="10879"/>
    <n v="25"/>
    <n v="4.58"/>
    <n v="80"/>
    <n v="2175.7999999999997"/>
    <n v="48.77125685280501"/>
    <n v="148.9"/>
    <n v="32.754369948156487"/>
    <x v="2"/>
  </r>
  <r>
    <s v="HIP-100907"/>
    <s v="2025-12-06"/>
    <s v="La Florida"/>
    <x v="0"/>
    <s v="J. Cáceres"/>
    <x v="1"/>
    <s v="Casa nueva"/>
    <n v="15229"/>
    <n v="20"/>
    <n v="4.84"/>
    <n v="90"/>
    <n v="1522.8999999999996"/>
    <n v="89.247144304612675"/>
    <n v="235.1"/>
    <n v="37.961354446879064"/>
    <x v="0"/>
  </r>
  <r>
    <s v="HIP-100908"/>
    <s v="2025-11-27"/>
    <s v="Valparaíso"/>
    <x v="2"/>
    <s v="G. Herrera"/>
    <x v="4"/>
    <s v="Departamento usado"/>
    <n v="14648"/>
    <n v="25"/>
    <n v="4.55"/>
    <n v="80"/>
    <n v="2929.5999999999995"/>
    <n v="65.467689106096671"/>
    <n v="258.39999999999998"/>
    <n v="25.335792997715433"/>
    <x v="2"/>
  </r>
  <r>
    <s v="HIP-100909"/>
    <s v="2025-12-25"/>
    <s v="Copiapó"/>
    <x v="13"/>
    <s v="J. Cáceres"/>
    <x v="1"/>
    <s v="Departamento usado"/>
    <n v="16881"/>
    <n v="30"/>
    <n v="4.87"/>
    <n v="85"/>
    <n v="2532.1500000000005"/>
    <n v="75.891753010058878"/>
    <n v="201.5"/>
    <n v="37.663400997547832"/>
    <x v="2"/>
  </r>
  <r>
    <s v="HIP-100910"/>
    <s v="2025-07-20"/>
    <s v="Las Condes"/>
    <x v="0"/>
    <s v="P. Vega"/>
    <x v="2"/>
    <s v="Casa nueva"/>
    <n v="14308"/>
    <n v="15"/>
    <n v="4.29"/>
    <n v="80"/>
    <n v="2861.5999999999995"/>
    <n v="86.34070441353316"/>
    <n v="176"/>
    <n v="49.057218416780209"/>
    <x v="1"/>
  </r>
  <r>
    <s v="HIP-100911"/>
    <s v="2025-01-27"/>
    <s v="Valdivia"/>
    <x v="5"/>
    <s v="R. Pinto"/>
    <x v="2"/>
    <s v="Departamento nuevo"/>
    <n v="9470"/>
    <n v="25"/>
    <n v="5.8"/>
    <n v="80"/>
    <n v="1893.9999999999995"/>
    <n v="47.890275906087517"/>
    <n v="132"/>
    <n v="36.280512050066299"/>
    <x v="2"/>
  </r>
  <r>
    <s v="HIP-100912"/>
    <s v="2025-09-26"/>
    <s v="Valdivia"/>
    <x v="5"/>
    <s v="G. Herrera"/>
    <x v="1"/>
    <s v="Departamento usado"/>
    <n v="3106"/>
    <n v="20"/>
    <n v="5.04"/>
    <n v="85"/>
    <n v="465.90000000000009"/>
    <n v="17.481882163176508"/>
    <n v="44.8"/>
    <n v="39.022058399947561"/>
    <x v="2"/>
  </r>
  <r>
    <s v="HIP-100913"/>
    <s v="2025-11-22"/>
    <s v="Concepción"/>
    <x v="1"/>
    <s v="D. Araya"/>
    <x v="2"/>
    <s v="Departamento nuevo"/>
    <n v="4597"/>
    <n v="20"/>
    <n v="5.53"/>
    <n v="80"/>
    <n v="919.39999999999975"/>
    <n v="25.360097183959681"/>
    <n v="61.2"/>
    <n v="41.43806729405177"/>
    <x v="2"/>
  </r>
  <r>
    <s v="HIP-100914"/>
    <s v="2025-06-24"/>
    <s v="Iquique"/>
    <x v="8"/>
    <s v="V. Morales"/>
    <x v="0"/>
    <s v="Casa usada"/>
    <n v="7360"/>
    <n v="25"/>
    <n v="4.42"/>
    <n v="80"/>
    <n v="1471.9999999999998"/>
    <n v="32.460627799245472"/>
    <n v="77.5"/>
    <n v="41.88468103128448"/>
    <x v="2"/>
  </r>
  <r>
    <s v="HIP-100915"/>
    <s v="2025-08-24"/>
    <s v="Talca"/>
    <x v="9"/>
    <s v="L. Muñoz"/>
    <x v="2"/>
    <s v="Departamento nuevo"/>
    <n v="10495"/>
    <n v="25"/>
    <n v="4.75"/>
    <n v="85"/>
    <n v="1574.2500000000002"/>
    <n v="50.858744515403501"/>
    <n v="138.4"/>
    <n v="36.747647771245298"/>
    <x v="2"/>
  </r>
  <r>
    <s v="HIP-100916"/>
    <s v="2025-05-18"/>
    <s v="La Serena"/>
    <x v="6"/>
    <s v="G. Herrera"/>
    <x v="0"/>
    <s v="Departamento nuevo"/>
    <n v="3414"/>
    <n v="15"/>
    <n v="4.4800000000000004"/>
    <n v="75"/>
    <n v="853.5"/>
    <n v="19.561491175909595"/>
    <n v="38.799999999999997"/>
    <n v="50.416214370901024"/>
    <x v="0"/>
  </r>
  <r>
    <s v="HIP-100917"/>
    <s v="2025-07-11"/>
    <s v="Concepción"/>
    <x v="1"/>
    <s v="G. Herrera"/>
    <x v="1"/>
    <s v="Casa usada"/>
    <n v="5615"/>
    <n v="25"/>
    <n v="4.1500000000000004"/>
    <n v="85"/>
    <n v="842.25000000000011"/>
    <n v="25.589303403466502"/>
    <n v="92.2"/>
    <n v="27.754125166449565"/>
    <x v="3"/>
  </r>
  <r>
    <s v="HIP-100918"/>
    <s v="2025-01-08"/>
    <s v="Santiago Centro"/>
    <x v="0"/>
    <s v="E. Castro"/>
    <x v="4"/>
    <s v="Casa usada"/>
    <n v="2945"/>
    <n v="15"/>
    <n v="5.09"/>
    <n v="80"/>
    <n v="588.99999999999989"/>
    <n v="18.741740583511611"/>
    <n v="35.4"/>
    <n v="52.942770009919805"/>
    <x v="2"/>
  </r>
  <r>
    <s v="HIP-100919"/>
    <s v="2025-04-19"/>
    <s v="Concepción"/>
    <x v="1"/>
    <s v="C. Tapia"/>
    <x v="0"/>
    <s v="Departamento usado"/>
    <n v="15140"/>
    <n v="15"/>
    <n v="4.33"/>
    <n v="90"/>
    <n v="1513.9999999999998"/>
    <n v="103.0580256259897"/>
    <n v="268.7"/>
    <n v="38.354308011161038"/>
    <x v="2"/>
  </r>
  <r>
    <s v="HIP-100920"/>
    <s v="2025-05-14"/>
    <s v="Las Condes"/>
    <x v="0"/>
    <s v="F. Soto"/>
    <x v="0"/>
    <s v="Casa usada"/>
    <n v="2949"/>
    <n v="25"/>
    <n v="5.75"/>
    <n v="90"/>
    <n v="294.89999999999992"/>
    <n v="16.697113026699768"/>
    <n v="36.9"/>
    <n v="45.249628798644359"/>
    <x v="2"/>
  </r>
  <r>
    <s v="HIP-100921"/>
    <s v="2025-12-24"/>
    <s v="La Florida"/>
    <x v="0"/>
    <s v="V. Morales"/>
    <x v="4"/>
    <s v="Departamento usado"/>
    <n v="16691"/>
    <n v="25"/>
    <n v="5.63"/>
    <n v="85"/>
    <n v="2503.6500000000005"/>
    <n v="88.227605596249163"/>
    <n v="258.89999999999998"/>
    <n v="34.077870064213663"/>
    <x v="0"/>
  </r>
  <r>
    <s v="HIP-100922"/>
    <s v="2025-12-23"/>
    <s v="Santiago Centro"/>
    <x v="0"/>
    <s v="B. Reyes"/>
    <x v="0"/>
    <s v="Casa usada"/>
    <n v="16408"/>
    <n v="30"/>
    <n v="4.29"/>
    <n v="90"/>
    <n v="1640.7999999999997"/>
    <n v="72.991969846401915"/>
    <n v="206.4"/>
    <n v="35.364326475969918"/>
    <x v="2"/>
  </r>
  <r>
    <s v="HIP-100923"/>
    <s v="2025-01-07"/>
    <s v="Concepción"/>
    <x v="1"/>
    <s v="F. Soto"/>
    <x v="2"/>
    <s v="Casa usada"/>
    <n v="7112"/>
    <n v="20"/>
    <n v="5.12"/>
    <n v="80"/>
    <n v="1422.3999999999996"/>
    <n v="37.927031390950347"/>
    <n v="84.8"/>
    <n v="44.72527286668673"/>
    <x v="2"/>
  </r>
  <r>
    <s v="HIP-100924"/>
    <s v="2025-09-26"/>
    <s v="Valdivia"/>
    <x v="5"/>
    <s v="J. Cáceres"/>
    <x v="1"/>
    <s v="Casa usada"/>
    <n v="14595"/>
    <n v="25"/>
    <n v="4.91"/>
    <n v="70"/>
    <n v="4378.5000000000009"/>
    <n v="59.19015268166423"/>
    <n v="231"/>
    <n v="25.623442719335166"/>
    <x v="3"/>
  </r>
  <r>
    <s v="HIP-100925"/>
    <s v="2025-09-25"/>
    <s v="Providencia"/>
    <x v="0"/>
    <s v="C. Tapia"/>
    <x v="4"/>
    <s v="Departamento nuevo"/>
    <n v="17062"/>
    <n v="30"/>
    <n v="5.28"/>
    <n v="85"/>
    <n v="2559.3000000000002"/>
    <n v="80.354138088941397"/>
    <n v="286.2"/>
    <n v="28.076218759238785"/>
    <x v="2"/>
  </r>
  <r>
    <s v="HIP-100926"/>
    <s v="2025-03-13"/>
    <s v="Arica"/>
    <x v="4"/>
    <s v="N. Fuentes"/>
    <x v="1"/>
    <s v="Casa usada"/>
    <n v="4516"/>
    <n v="25"/>
    <n v="4.13"/>
    <n v="75"/>
    <n v="1129"/>
    <n v="18.12184673903516"/>
    <n v="55.1"/>
    <n v="32.889014045435857"/>
    <x v="2"/>
  </r>
  <r>
    <s v="HIP-100927"/>
    <s v="2025-03-17"/>
    <s v="Iquique"/>
    <x v="8"/>
    <s v="L. Muñoz"/>
    <x v="2"/>
    <s v="Casa nueva"/>
    <n v="2058"/>
    <n v="25"/>
    <n v="3.95"/>
    <n v="85"/>
    <n v="308.70000000000005"/>
    <n v="9.1852241667620795"/>
    <n v="25"/>
    <n v="36.740896667048318"/>
    <x v="3"/>
  </r>
  <r>
    <s v="HIP-100928"/>
    <s v="2025-04-15"/>
    <s v="Temuco"/>
    <x v="3"/>
    <s v="S. Bravo"/>
    <x v="0"/>
    <s v="Departamento nuevo"/>
    <n v="7882"/>
    <n v="25"/>
    <n v="5.16"/>
    <n v="80"/>
    <n v="1576.3999999999996"/>
    <n v="37.452099951854876"/>
    <n v="89.5"/>
    <n v="41.845921733916065"/>
    <x v="3"/>
  </r>
  <r>
    <s v="HIP-100929"/>
    <s v="2025-05-28"/>
    <s v="Rancagua"/>
    <x v="12"/>
    <s v="G. Herrera"/>
    <x v="0"/>
    <s v="Casa usada"/>
    <n v="11819"/>
    <n v="25"/>
    <n v="4.6399999999999997"/>
    <n v="90"/>
    <n v="1181.8999999999996"/>
    <n v="59.972896679854401"/>
    <n v="174.8"/>
    <n v="34.309437459870935"/>
    <x v="2"/>
  </r>
  <r>
    <s v="HIP-100930"/>
    <s v="2025-05-09"/>
    <s v="Providencia"/>
    <x v="0"/>
    <s v="D. Araya"/>
    <x v="2"/>
    <s v="Casa nueva"/>
    <n v="13968"/>
    <n v="25"/>
    <n v="4.78"/>
    <n v="70"/>
    <n v="4190.4000000000005"/>
    <n v="55.912640625439288"/>
    <n v="166.8"/>
    <n v="33.520767761054728"/>
    <x v="2"/>
  </r>
  <r>
    <s v="HIP-100931"/>
    <s v="2025-12-14"/>
    <s v="Arica"/>
    <x v="4"/>
    <s v="T. Núñez"/>
    <x v="0"/>
    <s v="Departamento nuevo"/>
    <n v="13453"/>
    <n v="15"/>
    <n v="4.75"/>
    <n v="85"/>
    <n v="2017.9500000000003"/>
    <n v="88.945468706132885"/>
    <n v="163.30000000000001"/>
    <n v="54.467525233394284"/>
    <x v="0"/>
  </r>
  <r>
    <s v="HIP-100932"/>
    <s v="2025-09-20"/>
    <s v="Las Condes"/>
    <x v="0"/>
    <s v="E. Castro"/>
    <x v="1"/>
    <s v="Departamento usado"/>
    <n v="2509"/>
    <n v="15"/>
    <n v="5.28"/>
    <n v="80"/>
    <n v="501.7999999999999"/>
    <n v="16.167112745109399"/>
    <n v="27.9"/>
    <n v="57.946640663474561"/>
    <x v="2"/>
  </r>
  <r>
    <s v="HIP-100933"/>
    <s v="2025-04-14"/>
    <s v="Valparaíso"/>
    <x v="2"/>
    <s v="V. Morales"/>
    <x v="0"/>
    <s v="Casa nueva"/>
    <n v="16993"/>
    <n v="15"/>
    <n v="5.07"/>
    <n v="70"/>
    <n v="5097.9000000000005"/>
    <n v="94.500011320186502"/>
    <n v="274.60000000000002"/>
    <n v="34.413696766273304"/>
    <x v="2"/>
  </r>
  <r>
    <s v="HIP-100934"/>
    <s v="2025-02-26"/>
    <s v="Chillán"/>
    <x v="11"/>
    <s v="A. Rojas"/>
    <x v="0"/>
    <s v="Casa usada"/>
    <n v="4160"/>
    <n v="25"/>
    <n v="4.55"/>
    <n v="90"/>
    <n v="415.99999999999989"/>
    <n v="20.916765771199646"/>
    <n v="59.2"/>
    <n v="35.332374613512911"/>
    <x v="2"/>
  </r>
  <r>
    <s v="HIP-100935"/>
    <s v="2025-09-16"/>
    <s v="Rancagua"/>
    <x v="12"/>
    <s v="N. Fuentes"/>
    <x v="1"/>
    <s v="Casa usada"/>
    <n v="17135"/>
    <n v="25"/>
    <n v="5.14"/>
    <n v="90"/>
    <n v="1713.4999999999995"/>
    <n v="91.414909322147281"/>
    <n v="255.5"/>
    <n v="35.77882948029248"/>
    <x v="2"/>
  </r>
  <r>
    <s v="HIP-100936"/>
    <s v="2025-07-13"/>
    <s v="Copiapó"/>
    <x v="13"/>
    <s v="E. Castro"/>
    <x v="4"/>
    <s v="Departamento usado"/>
    <n v="14928"/>
    <n v="30"/>
    <n v="4.4800000000000004"/>
    <n v="75"/>
    <n v="3732"/>
    <n v="56.595516718201111"/>
    <n v="179.1"/>
    <n v="31.599953499833116"/>
    <x v="2"/>
  </r>
  <r>
    <s v="HIP-100937"/>
    <s v="2025-07-16"/>
    <s v="Arica"/>
    <x v="4"/>
    <s v="B. Reyes"/>
    <x v="4"/>
    <s v="Departamento nuevo"/>
    <n v="13246"/>
    <n v="20"/>
    <n v="5.47"/>
    <n v="80"/>
    <n v="2649.1999999999994"/>
    <n v="72.71460751460755"/>
    <n v="164.8"/>
    <n v="44.122941453038564"/>
    <x v="2"/>
  </r>
  <r>
    <s v="HIP-100938"/>
    <s v="2025-10-05"/>
    <s v="Valdivia"/>
    <x v="5"/>
    <s v="G. Herrera"/>
    <x v="2"/>
    <s v="Departamento nuevo"/>
    <n v="9262"/>
    <n v="20"/>
    <n v="4.41"/>
    <n v="90"/>
    <n v="926.19999999999982"/>
    <n v="52.332283901274856"/>
    <n v="109.1"/>
    <n v="47.967262970921041"/>
    <x v="1"/>
  </r>
  <r>
    <s v="HIP-100939"/>
    <s v="2025-04-20"/>
    <s v="Maipú"/>
    <x v="0"/>
    <s v="L. Muñoz"/>
    <x v="4"/>
    <s v="Departamento nuevo"/>
    <n v="3911"/>
    <n v="15"/>
    <n v="4.08"/>
    <n v="80"/>
    <n v="782.19999999999982"/>
    <n v="23.26898914097961"/>
    <n v="64.8"/>
    <n v="35.908933859536432"/>
    <x v="1"/>
  </r>
  <r>
    <s v="HIP-100940"/>
    <s v="2025-07-25"/>
    <s v="Arica"/>
    <x v="4"/>
    <s v="N. Fuentes"/>
    <x v="1"/>
    <s v="Casa nueva"/>
    <n v="6954"/>
    <n v="20"/>
    <n v="5.61"/>
    <n v="80"/>
    <n v="1390.7999999999997"/>
    <n v="38.614998942166764"/>
    <n v="104.4"/>
    <n v="36.987546879470081"/>
    <x v="0"/>
  </r>
  <r>
    <s v="HIP-100941"/>
    <s v="2025-12-09"/>
    <s v="Viña del Mar"/>
    <x v="2"/>
    <s v="A. Rojas"/>
    <x v="3"/>
    <s v="Departamento usado"/>
    <n v="11296"/>
    <n v="20"/>
    <n v="5.19"/>
    <n v="80"/>
    <n v="2259.1999999999994"/>
    <n v="60.591452345896592"/>
    <n v="188.5"/>
    <n v="32.144006549547264"/>
    <x v="2"/>
  </r>
  <r>
    <s v="HIP-100942"/>
    <s v="2025-04-14"/>
    <s v="La Serena"/>
    <x v="6"/>
    <s v="R. Pinto"/>
    <x v="4"/>
    <s v="Casa usada"/>
    <n v="10674"/>
    <n v="25"/>
    <n v="5.59"/>
    <n v="90"/>
    <n v="1067.3999999999999"/>
    <n v="59.510372114311721"/>
    <n v="137.4"/>
    <n v="43.311770097752344"/>
    <x v="2"/>
  </r>
  <r>
    <s v="HIP-100943"/>
    <s v="2025-12-14"/>
    <s v="Providencia"/>
    <x v="0"/>
    <s v="S. Bravo"/>
    <x v="0"/>
    <s v="Casa usada"/>
    <n v="12548"/>
    <n v="15"/>
    <n v="4.47"/>
    <n v="90"/>
    <n v="1254.7999999999997"/>
    <n v="86.219172740531818"/>
    <n v="201.9"/>
    <n v="42.703899326662615"/>
    <x v="2"/>
  </r>
  <r>
    <s v="HIP-100944"/>
    <s v="2025-02-18"/>
    <s v="Arica"/>
    <x v="4"/>
    <s v="L. Muñoz"/>
    <x v="2"/>
    <s v="Departamento nuevo"/>
    <n v="1592"/>
    <n v="20"/>
    <n v="4.04"/>
    <n v="80"/>
    <n v="318.39999999999992"/>
    <n v="7.7446359129408338"/>
    <n v="20.7"/>
    <n v="37.413700062516106"/>
    <x v="2"/>
  </r>
  <r>
    <s v="HIP-100945"/>
    <s v="2025-09-12"/>
    <s v="Arica"/>
    <x v="4"/>
    <s v="T. Núñez"/>
    <x v="2"/>
    <s v="Departamento usado"/>
    <n v="14320"/>
    <n v="20"/>
    <n v="4.78"/>
    <n v="90"/>
    <n v="1431.9999999999998"/>
    <n v="83.496606128557872"/>
    <n v="217.2"/>
    <n v="38.442268014989814"/>
    <x v="2"/>
  </r>
  <r>
    <s v="HIP-100946"/>
    <s v="2025-11-24"/>
    <s v="La Florida"/>
    <x v="0"/>
    <s v="B. Reyes"/>
    <x v="1"/>
    <s v="Departamento usado"/>
    <n v="4285"/>
    <n v="30"/>
    <n v="4.29"/>
    <n v="90"/>
    <n v="428.49999999999989"/>
    <n v="19.062078912227705"/>
    <n v="53.4"/>
    <n v="35.696776989190461"/>
    <x v="1"/>
  </r>
  <r>
    <s v="HIP-100947"/>
    <s v="2025-05-14"/>
    <s v="La Florida"/>
    <x v="0"/>
    <s v="T. Núñez"/>
    <x v="0"/>
    <s v="Departamento usado"/>
    <n v="8771"/>
    <n v="20"/>
    <n v="4.2699999999999996"/>
    <n v="75"/>
    <n v="2192.75"/>
    <n v="40.805000787105598"/>
    <n v="98.3"/>
    <n v="41.510682387696441"/>
    <x v="0"/>
  </r>
  <r>
    <s v="HIP-100948"/>
    <s v="2025-12-01"/>
    <s v="Arica"/>
    <x v="4"/>
    <s v="R. Pinto"/>
    <x v="1"/>
    <s v="Departamento nuevo"/>
    <n v="8391"/>
    <n v="25"/>
    <n v="5.0599999999999996"/>
    <n v="80"/>
    <n v="1678.1999999999996"/>
    <n v="39.477380658290912"/>
    <n v="149"/>
    <n v="26.494886347846247"/>
    <x v="1"/>
  </r>
  <r>
    <s v="HIP-100949"/>
    <s v="2025-02-15"/>
    <s v="Chillán"/>
    <x v="11"/>
    <s v="S. Bravo"/>
    <x v="2"/>
    <s v="Departamento nuevo"/>
    <n v="3852"/>
    <n v="20"/>
    <n v="5.26"/>
    <n v="85"/>
    <n v="577.80000000000007"/>
    <n v="22.081300810559881"/>
    <n v="47.8"/>
    <n v="46.195189980250802"/>
    <x v="2"/>
  </r>
  <r>
    <s v="HIP-100950"/>
    <s v="2025-08-23"/>
    <s v="Copiapó"/>
    <x v="13"/>
    <s v="E. Castro"/>
    <x v="3"/>
    <s v="Casa nueva"/>
    <n v="12496"/>
    <n v="30"/>
    <n v="4.1500000000000004"/>
    <n v="80"/>
    <n v="2499.1999999999994"/>
    <n v="48.594776972287342"/>
    <n v="194.3"/>
    <n v="25.010178575546753"/>
    <x v="3"/>
  </r>
  <r>
    <s v="HIP-100951"/>
    <s v="2025-04-24"/>
    <s v="Puerto Montt"/>
    <x v="10"/>
    <s v="P. Vega"/>
    <x v="0"/>
    <s v="Departamento usado"/>
    <n v="10675"/>
    <n v="25"/>
    <n v="4.07"/>
    <n v="80"/>
    <n v="2134.9999999999995"/>
    <n v="45.407998170161832"/>
    <n v="139.5"/>
    <n v="32.550536322696658"/>
    <x v="2"/>
  </r>
  <r>
    <s v="HIP-100952"/>
    <s v="2025-02-14"/>
    <s v="La Florida"/>
    <x v="0"/>
    <s v="C. Tapia"/>
    <x v="3"/>
    <s v="Departamento usado"/>
    <n v="12287"/>
    <n v="15"/>
    <n v="3.95"/>
    <n v="85"/>
    <n v="1843.0500000000002"/>
    <n v="76.991212946309091"/>
    <n v="150"/>
    <n v="51.327475297539394"/>
    <x v="3"/>
  </r>
  <r>
    <s v="HIP-100953"/>
    <s v="2025-02-26"/>
    <s v="Valdivia"/>
    <x v="5"/>
    <s v="P. Vega"/>
    <x v="0"/>
    <s v="Departamento nuevo"/>
    <n v="13842"/>
    <n v="20"/>
    <n v="4.54"/>
    <n v="80"/>
    <n v="2768.3999999999992"/>
    <n v="70.29638509181548"/>
    <n v="156.19999999999999"/>
    <n v="45.004087766847299"/>
    <x v="2"/>
  </r>
  <r>
    <s v="HIP-100954"/>
    <s v="2025-01-27"/>
    <s v="Valdivia"/>
    <x v="5"/>
    <s v="E. Castro"/>
    <x v="3"/>
    <s v="Casa usada"/>
    <n v="6498"/>
    <n v="20"/>
    <n v="4.87"/>
    <n v="80"/>
    <n v="1299.5999999999997"/>
    <n v="33.934917844266636"/>
    <n v="81.5"/>
    <n v="41.63793600523514"/>
    <x v="2"/>
  </r>
  <r>
    <s v="HIP-100955"/>
    <s v="2025-04-03"/>
    <s v="Arica"/>
    <x v="4"/>
    <s v="G. Herrera"/>
    <x v="2"/>
    <s v="Casa nueva"/>
    <n v="16417"/>
    <n v="25"/>
    <n v="5.43"/>
    <n v="80"/>
    <n v="3283.3999999999992"/>
    <n v="80.103687288037349"/>
    <n v="252.7"/>
    <n v="31.699124371997367"/>
    <x v="2"/>
  </r>
  <r>
    <s v="HIP-100956"/>
    <s v="2025-05-02"/>
    <s v="Iquique"/>
    <x v="8"/>
    <s v="P. Vega"/>
    <x v="3"/>
    <s v="Departamento nuevo"/>
    <n v="12688"/>
    <n v="30"/>
    <n v="4.6100000000000003"/>
    <n v="75"/>
    <n v="3172"/>
    <n v="48.84012486731509"/>
    <n v="152.19999999999999"/>
    <n v="32.089438151981007"/>
    <x v="2"/>
  </r>
  <r>
    <s v="HIP-100957"/>
    <s v="2025-09-25"/>
    <s v="Iquique"/>
    <x v="8"/>
    <s v="F. Soto"/>
    <x v="0"/>
    <s v="Departamento usado"/>
    <n v="12095"/>
    <n v="25"/>
    <n v="5.62"/>
    <n v="80"/>
    <n v="2418.9999999999995"/>
    <n v="60.114510858823138"/>
    <n v="201.4"/>
    <n v="29.848317208948927"/>
    <x v="3"/>
  </r>
  <r>
    <s v="HIP-100958"/>
    <s v="2025-05-18"/>
    <s v="Viña del Mar"/>
    <x v="2"/>
    <s v="J. Cáceres"/>
    <x v="2"/>
    <s v="Departamento usado"/>
    <n v="15394"/>
    <n v="20"/>
    <n v="4.25"/>
    <n v="70"/>
    <n v="4618.2000000000007"/>
    <n v="66.727467929318465"/>
    <n v="246.2"/>
    <n v="27.102952042777606"/>
    <x v="2"/>
  </r>
  <r>
    <s v="HIP-100959"/>
    <s v="2025-05-26"/>
    <s v="La Serena"/>
    <x v="6"/>
    <s v="T. Núñez"/>
    <x v="0"/>
    <s v="Departamento nuevo"/>
    <n v="10145"/>
    <n v="25"/>
    <n v="5.15"/>
    <n v="85"/>
    <n v="1521.7500000000002"/>
    <n v="51.167142954988179"/>
    <n v="166.8"/>
    <n v="30.675745176851425"/>
    <x v="2"/>
  </r>
  <r>
    <s v="HIP-100960"/>
    <s v="2025-02-17"/>
    <s v="La Florida"/>
    <x v="0"/>
    <s v="P. Vega"/>
    <x v="2"/>
    <s v="Departamento nuevo"/>
    <n v="12159"/>
    <n v="15"/>
    <n v="4.62"/>
    <n v="80"/>
    <n v="2431.7999999999993"/>
    <n v="75.010371630239774"/>
    <n v="175.6"/>
    <n v="42.71661254569463"/>
    <x v="2"/>
  </r>
  <r>
    <s v="HIP-100961"/>
    <s v="2025-10-01"/>
    <s v="Viña del Mar"/>
    <x v="2"/>
    <s v="M. Silva"/>
    <x v="1"/>
    <s v="Casa usada"/>
    <n v="11788"/>
    <n v="20"/>
    <n v="4.75"/>
    <n v="80"/>
    <n v="2357.5999999999995"/>
    <n v="60.941472993808944"/>
    <n v="165"/>
    <n v="36.934226056853902"/>
    <x v="2"/>
  </r>
  <r>
    <s v="HIP-100962"/>
    <s v="2025-04-25"/>
    <s v="Iquique"/>
    <x v="8"/>
    <s v="G. Herrera"/>
    <x v="3"/>
    <s v="Departamento nuevo"/>
    <n v="6711"/>
    <n v="20"/>
    <n v="4.8499999999999996"/>
    <n v="85"/>
    <n v="1006.6500000000002"/>
    <n v="37.17511286321146"/>
    <n v="100.5"/>
    <n v="36.990162052946729"/>
    <x v="2"/>
  </r>
  <r>
    <s v="HIP-100963"/>
    <s v="2025-01-10"/>
    <s v="Talca"/>
    <x v="9"/>
    <s v="S. Bravo"/>
    <x v="1"/>
    <s v="Departamento usado"/>
    <n v="11058"/>
    <n v="15"/>
    <n v="4.3499999999999996"/>
    <n v="80"/>
    <n v="2211.5999999999995"/>
    <n v="66.998163544398608"/>
    <n v="175.8"/>
    <n v="38.110445702160753"/>
    <x v="2"/>
  </r>
  <r>
    <s v="HIP-100964"/>
    <s v="2025-02-26"/>
    <s v="Iquique"/>
    <x v="8"/>
    <s v="G. Herrera"/>
    <x v="1"/>
    <s v="Casa usada"/>
    <n v="8838"/>
    <n v="15"/>
    <n v="4.9800000000000004"/>
    <n v="75"/>
    <n v="2209.5"/>
    <n v="52.348723051308106"/>
    <n v="112.1"/>
    <n v="46.698236441844877"/>
    <x v="2"/>
  </r>
  <r>
    <s v="HIP-100965"/>
    <s v="2025-06-09"/>
    <s v="Iquique"/>
    <x v="8"/>
    <s v="C. Tapia"/>
    <x v="4"/>
    <s v="Casa nueva"/>
    <n v="15152"/>
    <n v="25"/>
    <n v="3.98"/>
    <n v="90"/>
    <n v="1515.1999999999996"/>
    <n v="71.829547264982693"/>
    <n v="179"/>
    <n v="40.128238695521055"/>
    <x v="2"/>
  </r>
  <r>
    <s v="HIP-100966"/>
    <s v="2025-11-12"/>
    <s v="Temuco"/>
    <x v="3"/>
    <s v="F. Soto"/>
    <x v="3"/>
    <s v="Casa usada"/>
    <n v="14914"/>
    <n v="30"/>
    <n v="5.12"/>
    <n v="85"/>
    <n v="2237.1000000000004"/>
    <n v="68.985074263067602"/>
    <n v="171.1"/>
    <n v="40.318570580401875"/>
    <x v="2"/>
  </r>
  <r>
    <s v="HIP-100967"/>
    <s v="2025-06-19"/>
    <s v="Providencia"/>
    <x v="0"/>
    <s v="A. Rojas"/>
    <x v="3"/>
    <s v="Casa usada"/>
    <n v="6867"/>
    <n v="15"/>
    <n v="5.66"/>
    <n v="80"/>
    <n v="1373.3999999999996"/>
    <n v="45.355085859194979"/>
    <n v="114.7"/>
    <n v="39.542359075148191"/>
    <x v="2"/>
  </r>
  <r>
    <s v="HIP-100968"/>
    <s v="2025-02-06"/>
    <s v="Santiago Centro"/>
    <x v="0"/>
    <s v="T. Núñez"/>
    <x v="2"/>
    <s v="Departamento nuevo"/>
    <n v="12678"/>
    <n v="25"/>
    <n v="4.4800000000000004"/>
    <n v="90"/>
    <n v="1267.7999999999997"/>
    <n v="63.292137725027679"/>
    <n v="208.4"/>
    <n v="30.370507545598695"/>
    <x v="2"/>
  </r>
  <r>
    <s v="HIP-100969"/>
    <s v="2025-07-28"/>
    <s v="Valdivia"/>
    <x v="5"/>
    <s v="A. Rojas"/>
    <x v="3"/>
    <s v="Departamento nuevo"/>
    <n v="12675"/>
    <n v="20"/>
    <n v="5.19"/>
    <n v="85"/>
    <n v="1901.2500000000002"/>
    <n v="72.237646037491544"/>
    <n v="184.4"/>
    <n v="39.174428436817536"/>
    <x v="3"/>
  </r>
  <r>
    <s v="HIP-100970"/>
    <s v="2025-09-25"/>
    <s v="Valdivia"/>
    <x v="5"/>
    <s v="V. Morales"/>
    <x v="0"/>
    <s v="Casa usada"/>
    <n v="1971"/>
    <n v="20"/>
    <n v="5.22"/>
    <n v="90"/>
    <n v="197.09999999999997"/>
    <n v="11.923612172194748"/>
    <n v="24.9"/>
    <n v="47.885992659416658"/>
    <x v="2"/>
  </r>
  <r>
    <s v="HIP-100971"/>
    <s v="2025-04-28"/>
    <s v="Valdivia"/>
    <x v="5"/>
    <s v="L. Muñoz"/>
    <x v="3"/>
    <s v="Departamento nuevo"/>
    <n v="9864"/>
    <n v="30"/>
    <n v="5.48"/>
    <n v="80"/>
    <n v="1972.7999999999995"/>
    <n v="44.706394787084392"/>
    <n v="167.9"/>
    <n v="26.626798562885284"/>
    <x v="1"/>
  </r>
  <r>
    <s v="HIP-100972"/>
    <s v="2025-03-20"/>
    <s v="Providencia"/>
    <x v="0"/>
    <s v="B. Reyes"/>
    <x v="2"/>
    <s v="Departamento usado"/>
    <n v="2430"/>
    <n v="25"/>
    <n v="5.12"/>
    <n v="70"/>
    <n v="729.00000000000011"/>
    <n v="10.063163860233313"/>
    <n v="41"/>
    <n v="24.544302098130032"/>
    <x v="3"/>
  </r>
  <r>
    <s v="HIP-100973"/>
    <s v="2025-10-18"/>
    <s v="La Florida"/>
    <x v="0"/>
    <s v="P. Vega"/>
    <x v="3"/>
    <s v="Departamento nuevo"/>
    <n v="2219"/>
    <n v="30"/>
    <n v="4.7699999999999996"/>
    <n v="75"/>
    <n v="554.75"/>
    <n v="8.7015898184824838"/>
    <n v="24.5"/>
    <n v="35.5166931366632"/>
    <x v="2"/>
  </r>
  <r>
    <s v="HIP-100974"/>
    <s v="2025-08-09"/>
    <s v="Arica"/>
    <x v="4"/>
    <s v="J. Cáceres"/>
    <x v="3"/>
    <s v="Casa nueva"/>
    <n v="3625"/>
    <n v="25"/>
    <n v="4.42"/>
    <n v="80"/>
    <n v="724.99999999999989"/>
    <n v="15.987741273405547"/>
    <n v="56.4"/>
    <n v="28.347058995399905"/>
    <x v="2"/>
  </r>
  <r>
    <s v="HIP-100975"/>
    <s v="2025-10-11"/>
    <s v="Arica"/>
    <x v="4"/>
    <s v="S. Bravo"/>
    <x v="1"/>
    <s v="Departamento usado"/>
    <n v="7627"/>
    <n v="15"/>
    <n v="4.1399999999999997"/>
    <n v="80"/>
    <n v="1525.3999999999996"/>
    <n v="45.5620649410684"/>
    <n v="119"/>
    <n v="38.28744953030958"/>
    <x v="2"/>
  </r>
  <r>
    <s v="HIP-100976"/>
    <s v="2025-02-26"/>
    <s v="Puerto Montt"/>
    <x v="10"/>
    <s v="B. Reyes"/>
    <x v="2"/>
    <s v="Casa usada"/>
    <n v="8383"/>
    <n v="30"/>
    <n v="4.99"/>
    <n v="80"/>
    <n v="1676.5999999999997"/>
    <n v="35.960429813574308"/>
    <n v="138.6"/>
    <n v="25.94547605596992"/>
    <x v="2"/>
  </r>
  <r>
    <s v="HIP-100977"/>
    <s v="2025-08-02"/>
    <s v="Talcahuano"/>
    <x v="1"/>
    <s v="C. Tapia"/>
    <x v="0"/>
    <s v="Departamento nuevo"/>
    <n v="5661"/>
    <n v="30"/>
    <n v="4.7"/>
    <n v="80"/>
    <n v="1132.1999999999998"/>
    <n v="23.488069113887654"/>
    <n v="68.900000000000006"/>
    <n v="34.090085796643912"/>
    <x v="2"/>
  </r>
  <r>
    <s v="HIP-100978"/>
    <s v="2025-05-09"/>
    <s v="La Serena"/>
    <x v="6"/>
    <s v="G. Herrera"/>
    <x v="0"/>
    <s v="Departamento usado"/>
    <n v="17450"/>
    <n v="25"/>
    <n v="4.28"/>
    <n v="80"/>
    <n v="3489.9999999999991"/>
    <n v="75.861331510920778"/>
    <n v="223.2"/>
    <n v="33.988051752204655"/>
    <x v="2"/>
  </r>
  <r>
    <s v="HIP-100979"/>
    <s v="2025-11-23"/>
    <s v="Chillán"/>
    <x v="11"/>
    <s v="G. Herrera"/>
    <x v="2"/>
    <s v="Casa usada"/>
    <n v="4407"/>
    <n v="20"/>
    <n v="4.4800000000000004"/>
    <n v="90"/>
    <n v="440.69999999999987"/>
    <n v="25.049972829946771"/>
    <n v="65"/>
    <n v="38.538419738379645"/>
    <x v="1"/>
  </r>
  <r>
    <s v="HIP-100980"/>
    <s v="2025-06-12"/>
    <s v="Providencia"/>
    <x v="0"/>
    <s v="J. Cáceres"/>
    <x v="3"/>
    <s v="Departamento nuevo"/>
    <n v="8151"/>
    <n v="20"/>
    <n v="4.37"/>
    <n v="80"/>
    <n v="1630.1999999999996"/>
    <n v="40.797623008767253"/>
    <n v="106.6"/>
    <n v="38.27169137783045"/>
    <x v="1"/>
  </r>
  <r>
    <s v="HIP-100981"/>
    <s v="2025-08-17"/>
    <s v="Talcahuano"/>
    <x v="1"/>
    <s v="E. Castro"/>
    <x v="0"/>
    <s v="Departamento usado"/>
    <n v="5578"/>
    <n v="25"/>
    <n v="5.79"/>
    <n v="80"/>
    <n v="1115.5999999999997"/>
    <n v="28.181209493379093"/>
    <n v="65.900000000000006"/>
    <n v="42.763595589346117"/>
    <x v="3"/>
  </r>
  <r>
    <s v="HIP-100982"/>
    <s v="2025-06-02"/>
    <s v="Talcahuano"/>
    <x v="1"/>
    <s v="T. Núñez"/>
    <x v="3"/>
    <s v="Casa usada"/>
    <n v="4746"/>
    <n v="30"/>
    <n v="4.72"/>
    <n v="80"/>
    <n v="949.19999999999982"/>
    <n v="19.737307867208365"/>
    <n v="78.2"/>
    <n v="25.239524126864914"/>
    <x v="2"/>
  </r>
  <r>
    <s v="HIP-100983"/>
    <s v="2025-12-10"/>
    <s v="Iquique"/>
    <x v="8"/>
    <s v="V. Morales"/>
    <x v="1"/>
    <s v="Departamento nuevo"/>
    <n v="13978"/>
    <n v="30"/>
    <n v="5.34"/>
    <n v="80"/>
    <n v="2795.5999999999995"/>
    <n v="62.374447695669623"/>
    <n v="158.69999999999999"/>
    <n v="39.303369688512682"/>
    <x v="2"/>
  </r>
  <r>
    <s v="HIP-100984"/>
    <s v="2025-12-12"/>
    <s v="Antofagasta"/>
    <x v="7"/>
    <s v="C. Tapia"/>
    <x v="4"/>
    <s v="Departamento nuevo"/>
    <n v="8449"/>
    <n v="20"/>
    <n v="4.8499999999999996"/>
    <n v="90"/>
    <n v="844.89999999999986"/>
    <n v="49.555738291504952"/>
    <n v="102.3"/>
    <n v="48.441581907629477"/>
    <x v="2"/>
  </r>
  <r>
    <s v="HIP-100985"/>
    <s v="2025-11-02"/>
    <s v="Copiapó"/>
    <x v="13"/>
    <s v="V. Morales"/>
    <x v="3"/>
    <s v="Departamento usado"/>
    <n v="2628"/>
    <n v="20"/>
    <n v="5.36"/>
    <n v="80"/>
    <n v="525.59999999999991"/>
    <n v="14.296407974747652"/>
    <n v="41.2"/>
    <n v="34.700019356183617"/>
    <x v="2"/>
  </r>
  <r>
    <s v="HIP-100986"/>
    <s v="2025-05-12"/>
    <s v="Talcahuano"/>
    <x v="1"/>
    <s v="J. Cáceres"/>
    <x v="1"/>
    <s v="Casa usada"/>
    <n v="8664"/>
    <n v="15"/>
    <n v="4.46"/>
    <n v="80"/>
    <n v="1732.7999999999997"/>
    <n v="52.881630273959772"/>
    <n v="104.6"/>
    <n v="50.556051887150829"/>
    <x v="2"/>
  </r>
  <r>
    <s v="HIP-100987"/>
    <s v="2025-04-27"/>
    <s v="Providencia"/>
    <x v="0"/>
    <s v="D. Araya"/>
    <x v="4"/>
    <s v="Casa nueva"/>
    <n v="12775"/>
    <n v="20"/>
    <n v="4.4000000000000004"/>
    <n v="85"/>
    <n v="1916.2500000000002"/>
    <n v="68.113052509591483"/>
    <n v="216"/>
    <n v="31.533820606292352"/>
    <x v="2"/>
  </r>
  <r>
    <s v="HIP-100988"/>
    <s v="2025-01-20"/>
    <s v="Talca"/>
    <x v="9"/>
    <s v="E. Castro"/>
    <x v="2"/>
    <s v="Casa usada"/>
    <n v="9239"/>
    <n v="30"/>
    <n v="4.5599999999999996"/>
    <n v="80"/>
    <n v="1847.7999999999995"/>
    <n v="37.714086069696393"/>
    <n v="105.7"/>
    <n v="35.680308485994694"/>
    <x v="1"/>
  </r>
  <r>
    <s v="HIP-100989"/>
    <s v="2025-09-21"/>
    <s v="Antofagasta"/>
    <x v="7"/>
    <s v="N. Fuentes"/>
    <x v="2"/>
    <s v="Casa nueva"/>
    <n v="6642"/>
    <n v="30"/>
    <n v="5.75"/>
    <n v="85"/>
    <n v="996.30000000000018"/>
    <n v="32.946772756233671"/>
    <n v="78.400000000000006"/>
    <n v="42.023944842134782"/>
    <x v="2"/>
  </r>
  <r>
    <s v="HIP-100990"/>
    <s v="2025-01-12"/>
    <s v="Puerto Montt"/>
    <x v="10"/>
    <s v="T. Núñez"/>
    <x v="4"/>
    <s v="Departamento nuevo"/>
    <n v="5305"/>
    <n v="25"/>
    <n v="5.55"/>
    <n v="85"/>
    <n v="795.75000000000011"/>
    <n v="27.825546428889911"/>
    <n v="90.1"/>
    <n v="30.882959410532646"/>
    <x v="2"/>
  </r>
  <r>
    <s v="HIP-100991"/>
    <s v="2025-04-21"/>
    <s v="Concepción"/>
    <x v="1"/>
    <s v="E. Castro"/>
    <x v="1"/>
    <s v="Departamento nuevo"/>
    <n v="2457"/>
    <n v="25"/>
    <n v="4.45"/>
    <n v="70"/>
    <n v="737.10000000000014"/>
    <n v="9.5110173670978853"/>
    <n v="39"/>
    <n v="24.387224018199703"/>
    <x v="2"/>
  </r>
  <r>
    <s v="HIP-100992"/>
    <s v="2025-09-08"/>
    <s v="Valparaíso"/>
    <x v="2"/>
    <s v="L. Muñoz"/>
    <x v="2"/>
    <s v="Casa nueva"/>
    <n v="3951"/>
    <n v="15"/>
    <n v="4.59"/>
    <n v="75"/>
    <n v="987.75"/>
    <n v="22.805200846862679"/>
    <n v="55.5"/>
    <n v="41.090451976329149"/>
    <x v="2"/>
  </r>
  <r>
    <s v="HIP-100993"/>
    <s v="2025-11-04"/>
    <s v="La Florida"/>
    <x v="0"/>
    <s v="N. Fuentes"/>
    <x v="4"/>
    <s v="Departamento nuevo"/>
    <n v="3013"/>
    <n v="20"/>
    <n v="4.37"/>
    <n v="80"/>
    <n v="602.59999999999991"/>
    <n v="15.080755505510457"/>
    <n v="43.5"/>
    <n v="34.66840346094358"/>
    <x v="3"/>
  </r>
  <r>
    <s v="HIP-100994"/>
    <s v="2025-04-19"/>
    <s v="Las Condes"/>
    <x v="0"/>
    <s v="D. Araya"/>
    <x v="4"/>
    <s v="Casa nueva"/>
    <n v="5650"/>
    <n v="20"/>
    <n v="4.26"/>
    <n v="80"/>
    <n v="1129.9999999999998"/>
    <n v="28.013513057118193"/>
    <n v="80.599999999999994"/>
    <n v="34.756219673843916"/>
    <x v="0"/>
  </r>
  <r>
    <s v="HIP-100995"/>
    <s v="2025-11-28"/>
    <s v="La Serena"/>
    <x v="6"/>
    <s v="S. Bravo"/>
    <x v="2"/>
    <s v="Casa usada"/>
    <n v="3979"/>
    <n v="25"/>
    <n v="4.3"/>
    <n v="80"/>
    <n v="795.79999999999984"/>
    <n v="17.33384850084407"/>
    <n v="48.2"/>
    <n v="35.962341288058234"/>
    <x v="0"/>
  </r>
  <r>
    <s v="HIP-100996"/>
    <s v="2025-12-22"/>
    <s v="Iquique"/>
    <x v="8"/>
    <s v="G. Herrera"/>
    <x v="3"/>
    <s v="Casa nueva"/>
    <n v="16202"/>
    <n v="15"/>
    <n v="4.12"/>
    <n v="85"/>
    <n v="2430.3000000000002"/>
    <n v="102.69774216539015"/>
    <n v="189.6"/>
    <n v="54.165475825627716"/>
    <x v="2"/>
  </r>
  <r>
    <s v="HIP-100997"/>
    <s v="2025-04-05"/>
    <s v="Providencia"/>
    <x v="0"/>
    <s v="A. Rojas"/>
    <x v="2"/>
    <s v="Departamento usado"/>
    <n v="11466"/>
    <n v="25"/>
    <n v="4.4400000000000004"/>
    <n v="85"/>
    <n v="1719.9000000000003"/>
    <n v="53.84060957661444"/>
    <n v="165.4"/>
    <n v="32.551759115244522"/>
    <x v="2"/>
  </r>
  <r>
    <s v="HIP-100998"/>
    <s v="2025-08-02"/>
    <s v="Talcahuano"/>
    <x v="1"/>
    <s v="E. Castro"/>
    <x v="2"/>
    <s v="Casa usada"/>
    <n v="5458"/>
    <n v="30"/>
    <n v="4.54"/>
    <n v="80"/>
    <n v="1091.5999999999997"/>
    <n v="22.227804968942536"/>
    <n v="83.6"/>
    <n v="26.58828345567289"/>
    <x v="2"/>
  </r>
  <r>
    <s v="HIP-100999"/>
    <s v="2025-10-15"/>
    <s v="Talca"/>
    <x v="9"/>
    <s v="A. Rojas"/>
    <x v="2"/>
    <s v="Departamento nuevo"/>
    <n v="5796"/>
    <n v="20"/>
    <n v="3.98"/>
    <n v="85"/>
    <n v="869.40000000000009"/>
    <n v="29.802332812932523"/>
    <n v="81.8"/>
    <n v="36.433169697961517"/>
    <x v="3"/>
  </r>
  <r>
    <s v="HIP-101000"/>
    <s v="2025-05-04"/>
    <s v="Iquique"/>
    <x v="8"/>
    <s v="S. Bravo"/>
    <x v="4"/>
    <s v="Departamento usado"/>
    <n v="5977"/>
    <n v="25"/>
    <n v="5.14"/>
    <n v="85"/>
    <n v="896.55000000000018"/>
    <n v="30.115674614382719"/>
    <n v="102.5"/>
    <n v="29.381145965251431"/>
    <x v="2"/>
  </r>
  <r>
    <s v="HIP-101001"/>
    <s v="2025-09-19"/>
    <s v="Arica"/>
    <x v="4"/>
    <s v="N. Fuentes"/>
    <x v="3"/>
    <s v="Departamento usado"/>
    <n v="12242"/>
    <n v="30"/>
    <n v="4.17"/>
    <n v="80"/>
    <n v="2448.3999999999996"/>
    <n v="47.721058974782643"/>
    <n v="199.7"/>
    <n v="23.896374048464018"/>
    <x v="2"/>
  </r>
  <r>
    <s v="HIP-101002"/>
    <s v="2025-05-08"/>
    <s v="La Florida"/>
    <x v="0"/>
    <s v="P. Vega"/>
    <x v="4"/>
    <s v="Departamento usado"/>
    <n v="1680"/>
    <n v="20"/>
    <n v="3.91"/>
    <n v="75"/>
    <n v="420"/>
    <n v="7.5757305753897768"/>
    <n v="22.7"/>
    <n v="33.373262446650998"/>
    <x v="3"/>
  </r>
  <r>
    <s v="HIP-101003"/>
    <s v="2025-12-16"/>
    <s v="Las Condes"/>
    <x v="0"/>
    <s v="D. Araya"/>
    <x v="0"/>
    <s v="Departamento nuevo"/>
    <n v="8367"/>
    <n v="30"/>
    <n v="4.54"/>
    <n v="75"/>
    <n v="2091.75"/>
    <n v="31.945088203407082"/>
    <n v="93.1"/>
    <n v="34.312661872617703"/>
    <x v="2"/>
  </r>
  <r>
    <s v="HIP-101004"/>
    <s v="2025-06-16"/>
    <s v="Antofagasta"/>
    <x v="7"/>
    <s v="N. Fuentes"/>
    <x v="2"/>
    <s v="Departamento nuevo"/>
    <n v="13386"/>
    <n v="25"/>
    <n v="4.83"/>
    <n v="75"/>
    <n v="3346.5"/>
    <n v="57.699849597556742"/>
    <n v="177.1"/>
    <n v="32.58037809009415"/>
    <x v="2"/>
  </r>
  <r>
    <s v="HIP-101005"/>
    <s v="2025-04-26"/>
    <s v="Concepción"/>
    <x v="1"/>
    <s v="F. Soto"/>
    <x v="1"/>
    <s v="Departamento nuevo"/>
    <n v="15455"/>
    <n v="30"/>
    <n v="4.93"/>
    <n v="80"/>
    <n v="3090.9999999999991"/>
    <n v="65.844690098932773"/>
    <n v="265.5"/>
    <n v="24.800259924268463"/>
    <x v="1"/>
  </r>
  <r>
    <s v="HIP-101006"/>
    <s v="2025-10-22"/>
    <s v="Temuco"/>
    <x v="3"/>
    <s v="F. Soto"/>
    <x v="0"/>
    <s v="Casa nueva"/>
    <n v="7595"/>
    <n v="25"/>
    <n v="5.54"/>
    <n v="80"/>
    <n v="1518.9999999999998"/>
    <n v="37.457237209356279"/>
    <n v="93.3"/>
    <n v="40.147092400167509"/>
    <x v="3"/>
  </r>
  <r>
    <s v="HIP-101007"/>
    <s v="2025-05-22"/>
    <s v="Providencia"/>
    <x v="0"/>
    <s v="R. Pinto"/>
    <x v="2"/>
    <s v="Departamento nuevo"/>
    <n v="14670"/>
    <n v="30"/>
    <n v="4.33"/>
    <n v="90"/>
    <n v="1466.9999999999998"/>
    <n v="65.570666038807644"/>
    <n v="188.3"/>
    <n v="34.822446117263752"/>
    <x v="2"/>
  </r>
  <r>
    <s v="HIP-101008"/>
    <s v="2025-10-17"/>
    <s v="Talcahuano"/>
    <x v="1"/>
    <s v="J. Cáceres"/>
    <x v="4"/>
    <s v="Casa usada"/>
    <n v="12016"/>
    <n v="30"/>
    <n v="4.3499999999999996"/>
    <n v="70"/>
    <n v="3604.8000000000006"/>
    <n v="41.871945508950446"/>
    <n v="170.5"/>
    <n v="24.558325811701142"/>
    <x v="2"/>
  </r>
  <r>
    <s v="HIP-101009"/>
    <s v="2025-04-08"/>
    <s v="Valparaíso"/>
    <x v="2"/>
    <s v="S. Bravo"/>
    <x v="3"/>
    <s v="Casa usada"/>
    <n v="14163"/>
    <n v="25"/>
    <n v="4.82"/>
    <n v="75"/>
    <n v="3540.75"/>
    <n v="60.987744059580841"/>
    <n v="210.5"/>
    <n v="28.972800028304434"/>
    <x v="2"/>
  </r>
  <r>
    <s v="HIP-101010"/>
    <s v="2025-09-04"/>
    <s v="Maipú"/>
    <x v="0"/>
    <s v="R. Pinto"/>
    <x v="2"/>
    <s v="Departamento usado"/>
    <n v="8763"/>
    <n v="30"/>
    <n v="5.23"/>
    <n v="85"/>
    <n v="1314.4500000000003"/>
    <n v="41.038947909562197"/>
    <n v="151.6"/>
    <n v="27.070546114486937"/>
    <x v="3"/>
  </r>
  <r>
    <s v="HIP-101011"/>
    <s v="2025-10-22"/>
    <s v="Chillán"/>
    <x v="11"/>
    <s v="J. Cáceres"/>
    <x v="2"/>
    <s v="Departamento nuevo"/>
    <n v="3477"/>
    <n v="15"/>
    <n v="4.66"/>
    <n v="85"/>
    <n v="521.55000000000007"/>
    <n v="22.851415176360678"/>
    <n v="47.3"/>
    <n v="48.311659992305877"/>
    <x v="2"/>
  </r>
  <r>
    <s v="HIP-101012"/>
    <s v="2025-08-17"/>
    <s v="Temuco"/>
    <x v="3"/>
    <s v="A. Rojas"/>
    <x v="2"/>
    <s v="Casa nueva"/>
    <n v="13549"/>
    <n v="30"/>
    <n v="4.87"/>
    <n v="80"/>
    <n v="2709.7999999999993"/>
    <n v="57.329046524747987"/>
    <n v="212.5"/>
    <n v="26.978374835175522"/>
    <x v="2"/>
  </r>
  <r>
    <s v="HIP-101013"/>
    <s v="2025-03-15"/>
    <s v="Temuco"/>
    <x v="3"/>
    <s v="N. Fuentes"/>
    <x v="3"/>
    <s v="Departamento nuevo"/>
    <n v="7372"/>
    <n v="30"/>
    <n v="5.47"/>
    <n v="75"/>
    <n v="1843"/>
    <n v="31.289063768403619"/>
    <n v="101.4"/>
    <n v="30.857064860358598"/>
    <x v="2"/>
  </r>
  <r>
    <s v="HIP-101014"/>
    <s v="2025-07-03"/>
    <s v="Santiago Centro"/>
    <x v="0"/>
    <s v="V. Morales"/>
    <x v="3"/>
    <s v="Casa nueva"/>
    <n v="15743"/>
    <n v="30"/>
    <n v="4.57"/>
    <n v="80"/>
    <n v="3148.5999999999995"/>
    <n v="64.338873743005905"/>
    <n v="204.3"/>
    <n v="31.492351318162459"/>
    <x v="1"/>
  </r>
  <r>
    <s v="HIP-101015"/>
    <s v="2025-04-21"/>
    <s v="Iquique"/>
    <x v="8"/>
    <s v="T. Núñez"/>
    <x v="4"/>
    <s v="Departamento nuevo"/>
    <n v="11675"/>
    <n v="25"/>
    <n v="5.17"/>
    <n v="80"/>
    <n v="2334.9999999999995"/>
    <n v="55.529784446980244"/>
    <n v="153.69999999999999"/>
    <n v="36.128682138568799"/>
    <x v="2"/>
  </r>
  <r>
    <s v="HIP-101016"/>
    <s v="2025-11-24"/>
    <s v="Maipú"/>
    <x v="0"/>
    <s v="T. Núñez"/>
    <x v="1"/>
    <s v="Departamento usado"/>
    <n v="13156"/>
    <n v="30"/>
    <n v="5.41"/>
    <n v="80"/>
    <n v="2631.1999999999994"/>
    <n v="59.16570781671463"/>
    <n v="139.30000000000001"/>
    <n v="42.473587808122488"/>
    <x v="0"/>
  </r>
  <r>
    <s v="HIP-101017"/>
    <s v="2025-04-06"/>
    <s v="Rancagua"/>
    <x v="12"/>
    <s v="L. Muñoz"/>
    <x v="1"/>
    <s v="Casa nueva"/>
    <n v="6263"/>
    <n v="20"/>
    <n v="4.6399999999999997"/>
    <n v="75"/>
    <n v="1565.75"/>
    <n v="30.073270355173136"/>
    <n v="78.099999999999994"/>
    <n v="38.506108009184558"/>
    <x v="2"/>
  </r>
  <r>
    <s v="HIP-101018"/>
    <s v="2025-09-04"/>
    <s v="Talcahuano"/>
    <x v="1"/>
    <s v="G. Herrera"/>
    <x v="0"/>
    <s v="Departamento nuevo"/>
    <n v="11169"/>
    <n v="15"/>
    <n v="4.2300000000000004"/>
    <n v="75"/>
    <n v="2792.25"/>
    <n v="62.93172377238443"/>
    <n v="188"/>
    <n v="33.474321155523633"/>
    <x v="2"/>
  </r>
  <r>
    <s v="HIP-101019"/>
    <s v="2025-08-02"/>
    <s v="La Florida"/>
    <x v="0"/>
    <s v="J. Cáceres"/>
    <x v="2"/>
    <s v="Departamento usado"/>
    <n v="5978"/>
    <n v="20"/>
    <n v="5.01"/>
    <n v="80"/>
    <n v="1195.5999999999997"/>
    <n v="31.588148246513576"/>
    <n v="103"/>
    <n v="30.668105093702501"/>
    <x v="2"/>
  </r>
  <r>
    <s v="HIP-101020"/>
    <s v="2025-10-13"/>
    <s v="Puerto Montt"/>
    <x v="10"/>
    <s v="P. Vega"/>
    <x v="3"/>
    <s v="Departamento usado"/>
    <n v="11292"/>
    <n v="20"/>
    <n v="4.82"/>
    <n v="75"/>
    <n v="2823"/>
    <n v="55.052969263635717"/>
    <n v="133.5"/>
    <n v="41.238179223697166"/>
    <x v="1"/>
  </r>
  <r>
    <s v="HIP-101021"/>
    <s v="2025-05-08"/>
    <s v="Arica"/>
    <x v="4"/>
    <s v="M. Silva"/>
    <x v="1"/>
    <s v="Departamento nuevo"/>
    <n v="14464"/>
    <n v="25"/>
    <n v="4.2"/>
    <n v="70"/>
    <n v="4339.2000000000007"/>
    <n v="54.566831798054125"/>
    <n v="256.5"/>
    <n v="21.273618634718957"/>
    <x v="2"/>
  </r>
  <r>
    <s v="HIP-101022"/>
    <s v="2025-09-13"/>
    <s v="Puerto Montt"/>
    <x v="10"/>
    <s v="E. Castro"/>
    <x v="1"/>
    <s v="Departamento usado"/>
    <n v="5115"/>
    <n v="20"/>
    <n v="5.63"/>
    <n v="80"/>
    <n v="1022.9999999999998"/>
    <n v="28.449643788921342"/>
    <n v="69.400000000000006"/>
    <n v="40.993723038791558"/>
    <x v="3"/>
  </r>
  <r>
    <s v="HIP-101023"/>
    <s v="2025-08-14"/>
    <s v="Santiago Centro"/>
    <x v="0"/>
    <s v="S. Bravo"/>
    <x v="1"/>
    <s v="Casa usada"/>
    <n v="8230"/>
    <n v="20"/>
    <n v="4.99"/>
    <n v="90"/>
    <n v="822.99999999999977"/>
    <n v="48.842013025239055"/>
    <n v="105"/>
    <n v="46.51620288118005"/>
    <x v="2"/>
  </r>
  <r>
    <s v="HIP-101024"/>
    <s v="2025-08-24"/>
    <s v="Viña del Mar"/>
    <x v="2"/>
    <s v="N. Fuentes"/>
    <x v="0"/>
    <s v="Casa usada"/>
    <n v="13161"/>
    <n v="25"/>
    <n v="5.34"/>
    <n v="85"/>
    <n v="1974.1500000000003"/>
    <n v="67.632250678711145"/>
    <n v="151.4"/>
    <n v="44.671235586995472"/>
    <x v="2"/>
  </r>
  <r>
    <s v="HIP-101025"/>
    <s v="2025-08-19"/>
    <s v="Copiapó"/>
    <x v="13"/>
    <s v="S. Bravo"/>
    <x v="2"/>
    <s v="Departamento nuevo"/>
    <n v="3763"/>
    <n v="15"/>
    <n v="4.62"/>
    <n v="80"/>
    <n v="752.5999999999998"/>
    <n v="23.21441141907988"/>
    <n v="68.3"/>
    <n v="33.988889339794845"/>
    <x v="1"/>
  </r>
  <r>
    <s v="HIP-101026"/>
    <s v="2025-01-20"/>
    <s v="Viña del Mar"/>
    <x v="2"/>
    <s v="R. Pinto"/>
    <x v="4"/>
    <s v="Casa usada"/>
    <n v="17044"/>
    <n v="20"/>
    <n v="4.1100000000000003"/>
    <n v="80"/>
    <n v="3408.7999999999993"/>
    <n v="83.419097662441857"/>
    <n v="186.6"/>
    <n v="44.704768307846656"/>
    <x v="2"/>
  </r>
  <r>
    <s v="HIP-101027"/>
    <s v="2025-08-07"/>
    <s v="Arica"/>
    <x v="4"/>
    <s v="M. Silva"/>
    <x v="0"/>
    <s v="Departamento nuevo"/>
    <n v="6779"/>
    <n v="25"/>
    <n v="4.43"/>
    <n v="70"/>
    <n v="2033.7000000000003"/>
    <n v="26.187732186051544"/>
    <n v="91.8"/>
    <n v="28.526941379141117"/>
    <x v="0"/>
  </r>
  <r>
    <s v="HIP-101028"/>
    <s v="2025-09-02"/>
    <s v="Puerto Montt"/>
    <x v="10"/>
    <s v="A. Rojas"/>
    <x v="3"/>
    <s v="Departamento nuevo"/>
    <n v="17971"/>
    <n v="30"/>
    <n v="4.5599999999999996"/>
    <n v="80"/>
    <n v="3594.1999999999994"/>
    <n v="73.358571356046511"/>
    <n v="194.4"/>
    <n v="37.735890615250263"/>
    <x v="2"/>
  </r>
  <r>
    <s v="HIP-101029"/>
    <s v="2025-03-09"/>
    <s v="Talcahuano"/>
    <x v="1"/>
    <s v="V. Morales"/>
    <x v="3"/>
    <s v="Departamento usado"/>
    <n v="9581"/>
    <n v="20"/>
    <n v="5.57"/>
    <n v="80"/>
    <n v="1916.1999999999996"/>
    <n v="53.028680277510659"/>
    <n v="160.19999999999999"/>
    <n v="33.101548238146485"/>
    <x v="1"/>
  </r>
  <r>
    <s v="HIP-101030"/>
    <s v="2025-01-10"/>
    <s v="Viña del Mar"/>
    <x v="2"/>
    <s v="P. Vega"/>
    <x v="0"/>
    <s v="Departamento nuevo"/>
    <n v="3196"/>
    <n v="20"/>
    <n v="5.79"/>
    <n v="80"/>
    <n v="639.19999999999982"/>
    <n v="18.009306343813559"/>
    <n v="54"/>
    <n v="33.350567303358439"/>
    <x v="2"/>
  </r>
  <r>
    <s v="HIP-101031"/>
    <s v="2025-05-08"/>
    <s v="Las Condes"/>
    <x v="0"/>
    <s v="S. Bravo"/>
    <x v="4"/>
    <s v="Departamento usado"/>
    <n v="2204"/>
    <n v="20"/>
    <n v="5.17"/>
    <n v="80"/>
    <n v="440.7999999999999"/>
    <n v="11.802560332383848"/>
    <n v="26.4"/>
    <n v="44.706667925696394"/>
    <x v="2"/>
  </r>
  <r>
    <s v="HIP-101032"/>
    <s v="2025-03-27"/>
    <s v="Antofagasta"/>
    <x v="7"/>
    <s v="G. Herrera"/>
    <x v="0"/>
    <s v="Casa nueva"/>
    <n v="3233"/>
    <n v="20"/>
    <n v="4.1100000000000003"/>
    <n v="90"/>
    <n v="323.29999999999995"/>
    <n v="17.801319266927294"/>
    <n v="51.2"/>
    <n v="34.768201693217371"/>
    <x v="2"/>
  </r>
  <r>
    <s v="HIP-101033"/>
    <s v="2025-04-19"/>
    <s v="Puerto Montt"/>
    <x v="10"/>
    <s v="E. Castro"/>
    <x v="2"/>
    <s v="Departamento usado"/>
    <n v="12150"/>
    <n v="30"/>
    <n v="4.82"/>
    <n v="80"/>
    <n v="2429.9999999999995"/>
    <n v="51.115043290669789"/>
    <n v="129"/>
    <n v="39.624064566410688"/>
    <x v="0"/>
  </r>
  <r>
    <s v="HIP-101034"/>
    <s v="2025-11-11"/>
    <s v="Santiago Centro"/>
    <x v="0"/>
    <s v="G. Herrera"/>
    <x v="0"/>
    <s v="Departamento usado"/>
    <n v="1712"/>
    <n v="20"/>
    <n v="4.16"/>
    <n v="85"/>
    <n v="256.8"/>
    <n v="8.9413947065641022"/>
    <n v="20.100000000000001"/>
    <n v="44.484550778925879"/>
    <x v="3"/>
  </r>
  <r>
    <s v="HIP-101035"/>
    <s v="2025-01-08"/>
    <s v="La Florida"/>
    <x v="0"/>
    <s v="N. Fuentes"/>
    <x v="3"/>
    <s v="Departamento usado"/>
    <n v="5583"/>
    <n v="30"/>
    <n v="4.5"/>
    <n v="90"/>
    <n v="558.29999999999984"/>
    <n v="25.459416762821025"/>
    <n v="63.5"/>
    <n v="40.09356970522996"/>
    <x v="1"/>
  </r>
  <r>
    <s v="HIP-101036"/>
    <s v="2025-03-19"/>
    <s v="Santiago Centro"/>
    <x v="0"/>
    <s v="T. Núñez"/>
    <x v="3"/>
    <s v="Casa nueva"/>
    <n v="8934"/>
    <n v="15"/>
    <n v="5.0199999999999996"/>
    <n v="85"/>
    <n v="1340.1000000000001"/>
    <n v="60.131223353203929"/>
    <n v="142.30000000000001"/>
    <n v="42.25665731075469"/>
    <x v="1"/>
  </r>
  <r>
    <s v="HIP-101037"/>
    <s v="2025-07-12"/>
    <s v="Santiago Centro"/>
    <x v="0"/>
    <s v="L. Muñoz"/>
    <x v="3"/>
    <s v="Departamento nuevo"/>
    <n v="17988"/>
    <n v="15"/>
    <n v="4.46"/>
    <n v="75"/>
    <n v="4497"/>
    <n v="102.92966211132145"/>
    <n v="247.5"/>
    <n v="41.587742267200582"/>
    <x v="2"/>
  </r>
  <r>
    <s v="HIP-101038"/>
    <s v="2025-11-15"/>
    <s v="Talca"/>
    <x v="9"/>
    <s v="D. Araya"/>
    <x v="1"/>
    <s v="Departamento nuevo"/>
    <n v="11515"/>
    <n v="20"/>
    <n v="5.12"/>
    <n v="80"/>
    <n v="2302.9999999999995"/>
    <n v="61.407447478457996"/>
    <n v="163.4"/>
    <n v="37.581057208358629"/>
    <x v="2"/>
  </r>
  <r>
    <s v="HIP-101039"/>
    <s v="2025-02-21"/>
    <s v="Maipú"/>
    <x v="0"/>
    <s v="G. Herrera"/>
    <x v="1"/>
    <s v="Departamento nuevo"/>
    <n v="13892"/>
    <n v="25"/>
    <n v="5.67"/>
    <n v="90"/>
    <n v="1389.1999999999996"/>
    <n v="78.05261056491824"/>
    <n v="173.6"/>
    <n v="44.96118120098977"/>
    <x v="1"/>
  </r>
  <r>
    <s v="HIP-101040"/>
    <s v="2025-07-23"/>
    <s v="Copiapó"/>
    <x v="13"/>
    <s v="C. Tapia"/>
    <x v="0"/>
    <s v="Casa nueva"/>
    <n v="11970"/>
    <n v="30"/>
    <n v="4.3499999999999996"/>
    <n v="80"/>
    <n v="2393.9999999999995"/>
    <n v="47.670457270509488"/>
    <n v="154.1"/>
    <n v="30.93475488027871"/>
    <x v="1"/>
  </r>
  <r>
    <s v="HIP-101041"/>
    <s v="2025-05-20"/>
    <s v="La Florida"/>
    <x v="0"/>
    <s v="A. Rojas"/>
    <x v="0"/>
    <s v="Departamento nuevo"/>
    <n v="4360"/>
    <n v="15"/>
    <n v="4.51"/>
    <n v="85"/>
    <n v="654.00000000000011"/>
    <n v="28.369595373424836"/>
    <n v="49.2"/>
    <n v="57.66177921427812"/>
    <x v="0"/>
  </r>
  <r>
    <s v="HIP-101042"/>
    <s v="2025-11-18"/>
    <s v="Maipú"/>
    <x v="0"/>
    <s v="L. Muñoz"/>
    <x v="2"/>
    <s v="Casa usada"/>
    <n v="11512"/>
    <n v="15"/>
    <n v="3.93"/>
    <n v="80"/>
    <n v="2302.3999999999996"/>
    <n v="67.799690503286811"/>
    <n v="179.6"/>
    <n v="37.750384467308919"/>
    <x v="1"/>
  </r>
  <r>
    <s v="HIP-101043"/>
    <s v="2025-12-05"/>
    <s v="Talcahuano"/>
    <x v="1"/>
    <s v="D. Araya"/>
    <x v="0"/>
    <s v="Casa usada"/>
    <n v="7667"/>
    <n v="15"/>
    <n v="5.55"/>
    <n v="80"/>
    <n v="1533.3999999999996"/>
    <n v="50.279519545155331"/>
    <n v="88.6"/>
    <n v="56.748893391823174"/>
    <x v="1"/>
  </r>
  <r>
    <s v="HIP-101044"/>
    <s v="2025-04-16"/>
    <s v="Viña del Mar"/>
    <x v="2"/>
    <s v="G. Herrera"/>
    <x v="2"/>
    <s v="Casa nueva"/>
    <n v="8287"/>
    <n v="30"/>
    <n v="5.44"/>
    <n v="90"/>
    <n v="828.69999999999982"/>
    <n v="42.067067690050052"/>
    <n v="109.5"/>
    <n v="38.41741341557082"/>
    <x v="0"/>
  </r>
  <r>
    <s v="HIP-101045"/>
    <s v="2025-02-13"/>
    <s v="Temuco"/>
    <x v="3"/>
    <s v="R. Pinto"/>
    <x v="4"/>
    <s v="Departamento nuevo"/>
    <n v="8721"/>
    <n v="20"/>
    <n v="4.4800000000000004"/>
    <n v="85"/>
    <n v="1308.1500000000001"/>
    <n v="46.81735902288554"/>
    <n v="130.19999999999999"/>
    <n v="35.958033043690897"/>
    <x v="2"/>
  </r>
  <r>
    <s v="HIP-101046"/>
    <s v="2025-10-03"/>
    <s v="Arica"/>
    <x v="4"/>
    <s v="T. Núñez"/>
    <x v="2"/>
    <s v="Casa nueva"/>
    <n v="5352"/>
    <n v="25"/>
    <n v="5.22"/>
    <n v="75"/>
    <n v="1338"/>
    <n v="23.982811938216226"/>
    <n v="73.3"/>
    <n v="32.718706600567842"/>
    <x v="2"/>
  </r>
  <r>
    <s v="HIP-101047"/>
    <s v="2025-09-28"/>
    <s v="Valdivia"/>
    <x v="5"/>
    <s v="R. Pinto"/>
    <x v="1"/>
    <s v="Departamento usado"/>
    <n v="17237"/>
    <n v="30"/>
    <n v="5.18"/>
    <n v="90"/>
    <n v="1723.6999999999996"/>
    <n v="84.993653238021963"/>
    <n v="181.6"/>
    <n v="46.802672487897553"/>
    <x v="2"/>
  </r>
  <r>
    <s v="HIP-101048"/>
    <s v="2025-07-02"/>
    <s v="Temuco"/>
    <x v="3"/>
    <s v="J. Cáceres"/>
    <x v="0"/>
    <s v="Casa nueva"/>
    <n v="15680"/>
    <n v="20"/>
    <n v="4.05"/>
    <n v="75"/>
    <n v="3920"/>
    <n v="71.573503819199715"/>
    <n v="228.9"/>
    <n v="31.26845951035374"/>
    <x v="2"/>
  </r>
  <r>
    <s v="HIP-101049"/>
    <s v="2025-10-20"/>
    <s v="Iquique"/>
    <x v="8"/>
    <s v="J. Cáceres"/>
    <x v="2"/>
    <s v="Departamento nuevo"/>
    <n v="6350"/>
    <n v="25"/>
    <n v="5.69"/>
    <n v="80"/>
    <n v="1269.9999999999998"/>
    <n v="31.774672989360383"/>
    <n v="77.8"/>
    <n v="40.841481991465791"/>
    <x v="1"/>
  </r>
  <r>
    <s v="HIP-101050"/>
    <s v="2025-09-19"/>
    <s v="Talca"/>
    <x v="9"/>
    <s v="A. Rojas"/>
    <x v="2"/>
    <s v="Departamento nuevo"/>
    <n v="6662"/>
    <n v="30"/>
    <n v="5.12"/>
    <n v="85"/>
    <n v="999.30000000000018"/>
    <n v="30.81524505434869"/>
    <n v="73.599999999999994"/>
    <n v="41.868539476017247"/>
    <x v="2"/>
  </r>
  <r>
    <s v="HIP-101051"/>
    <s v="2025-08-11"/>
    <s v="Valdivia"/>
    <x v="5"/>
    <s v="T. Núñez"/>
    <x v="0"/>
    <s v="Casa nueva"/>
    <n v="1741"/>
    <n v="30"/>
    <n v="5.62"/>
    <n v="90"/>
    <n v="174.09999999999997"/>
    <n v="9.0150144047837735"/>
    <n v="23.4"/>
    <n v="38.525702584546046"/>
    <x v="2"/>
  </r>
  <r>
    <s v="HIP-101052"/>
    <s v="2025-06-26"/>
    <s v="Rancagua"/>
    <x v="12"/>
    <s v="A. Rojas"/>
    <x v="0"/>
    <s v="Departamento usado"/>
    <n v="13497"/>
    <n v="25"/>
    <n v="4.8"/>
    <n v="80"/>
    <n v="2699.3999999999992"/>
    <n v="61.869919976130888"/>
    <n v="196.6"/>
    <n v="31.469949123159154"/>
    <x v="1"/>
  </r>
  <r>
    <s v="HIP-101053"/>
    <s v="2025-07-05"/>
    <s v="Providencia"/>
    <x v="0"/>
    <s v="M. Silva"/>
    <x v="4"/>
    <s v="Departamento nuevo"/>
    <n v="4272"/>
    <n v="20"/>
    <n v="4.29"/>
    <n v="80"/>
    <n v="854.39999999999986"/>
    <n v="21.235944091868557"/>
    <n v="49"/>
    <n v="43.338661411976645"/>
    <x v="3"/>
  </r>
  <r>
    <s v="HIP-101054"/>
    <s v="2025-12-13"/>
    <s v="La Serena"/>
    <x v="6"/>
    <s v="P. Vega"/>
    <x v="1"/>
    <s v="Departamento usado"/>
    <n v="7397"/>
    <n v="20"/>
    <n v="5.0199999999999996"/>
    <n v="70"/>
    <n v="2219.1000000000004"/>
    <n v="34.229081755926806"/>
    <n v="109.2"/>
    <n v="31.345312963302934"/>
    <x v="2"/>
  </r>
  <r>
    <s v="HIP-101055"/>
    <s v="2025-02-13"/>
    <s v="Valdivia"/>
    <x v="5"/>
    <s v="R. Pinto"/>
    <x v="0"/>
    <s v="Casa usada"/>
    <n v="5017"/>
    <n v="25"/>
    <n v="4.87"/>
    <n v="75"/>
    <n v="1254.25"/>
    <n v="21.71260952340204"/>
    <n v="78.3"/>
    <n v="27.730024934102225"/>
    <x v="0"/>
  </r>
  <r>
    <s v="HIP-101056"/>
    <s v="2025-02-13"/>
    <s v="Iquique"/>
    <x v="8"/>
    <s v="J. Cáceres"/>
    <x v="4"/>
    <s v="Departamento nuevo"/>
    <n v="17551"/>
    <n v="25"/>
    <n v="5.6"/>
    <n v="70"/>
    <n v="5265.3000000000011"/>
    <n v="76.180398156320265"/>
    <n v="254.7"/>
    <n v="29.909854007192884"/>
    <x v="3"/>
  </r>
  <r>
    <s v="HIP-101057"/>
    <s v="2025-06-15"/>
    <s v="Concepción"/>
    <x v="1"/>
    <s v="T. Núñez"/>
    <x v="4"/>
    <s v="Departamento nuevo"/>
    <n v="11029"/>
    <n v="25"/>
    <n v="5.53"/>
    <n v="85"/>
    <n v="1654.3500000000001"/>
    <n v="57.736628414658078"/>
    <n v="124.4"/>
    <n v="46.412080719178519"/>
    <x v="2"/>
  </r>
  <r>
    <s v="HIP-101058"/>
    <s v="2025-04-12"/>
    <s v="Antofagasta"/>
    <x v="7"/>
    <s v="T. Núñez"/>
    <x v="3"/>
    <s v="Departamento usado"/>
    <n v="10838"/>
    <n v="20"/>
    <n v="4.28"/>
    <n v="70"/>
    <n v="3251.4000000000005"/>
    <n v="47.100328572946651"/>
    <n v="150.80000000000001"/>
    <n v="31.233639637232525"/>
    <x v="2"/>
  </r>
  <r>
    <s v="HIP-101059"/>
    <s v="2025-10-04"/>
    <s v="Rancagua"/>
    <x v="12"/>
    <s v="A. Rojas"/>
    <x v="4"/>
    <s v="Casa usada"/>
    <n v="17170"/>
    <n v="20"/>
    <n v="4.62"/>
    <n v="70"/>
    <n v="5151.0000000000009"/>
    <n v="76.818864082569448"/>
    <n v="264.5"/>
    <n v="29.043048802483725"/>
    <x v="2"/>
  </r>
  <r>
    <s v="HIP-101060"/>
    <s v="2025-04-03"/>
    <s v="La Serena"/>
    <x v="6"/>
    <s v="F. Soto"/>
    <x v="2"/>
    <s v="Casa usada"/>
    <n v="3325"/>
    <n v="20"/>
    <n v="5.78"/>
    <n v="75"/>
    <n v="831.25"/>
    <n v="17.550944092075948"/>
    <n v="42.4"/>
    <n v="41.39373606621686"/>
    <x v="2"/>
  </r>
  <r>
    <s v="HIP-101061"/>
    <s v="2025-07-07"/>
    <s v="Rancagua"/>
    <x v="12"/>
    <s v="B. Reyes"/>
    <x v="3"/>
    <s v="Departamento usado"/>
    <n v="8599"/>
    <n v="25"/>
    <n v="4.3499999999999996"/>
    <n v="75"/>
    <n v="2149.75"/>
    <n v="35.30015185080282"/>
    <n v="109.9"/>
    <n v="32.120247361967984"/>
    <x v="0"/>
  </r>
  <r>
    <s v="HIP-101062"/>
    <s v="2025-10-25"/>
    <s v="Puerto Montt"/>
    <x v="10"/>
    <s v="S. Bravo"/>
    <x v="3"/>
    <s v="Departamento nuevo"/>
    <n v="4877"/>
    <n v="25"/>
    <n v="3.96"/>
    <n v="75"/>
    <n v="1219.25"/>
    <n v="19.226257975814974"/>
    <n v="57.4"/>
    <n v="33.495222954381489"/>
    <x v="2"/>
  </r>
  <r>
    <s v="HIP-101063"/>
    <s v="2025-07-02"/>
    <s v="Maipú"/>
    <x v="0"/>
    <s v="E. Castro"/>
    <x v="2"/>
    <s v="Casa usada"/>
    <n v="3613"/>
    <n v="20"/>
    <n v="5.25"/>
    <n v="80"/>
    <n v="722.5999999999998"/>
    <n v="19.476791784039698"/>
    <n v="47.5"/>
    <n v="41.003772176925679"/>
    <x v="0"/>
  </r>
  <r>
    <s v="HIP-101064"/>
    <s v="2025-08-17"/>
    <s v="Viña del Mar"/>
    <x v="2"/>
    <s v="V. Morales"/>
    <x v="1"/>
    <s v="Departamento nuevo"/>
    <n v="1669"/>
    <n v="30"/>
    <n v="5.61"/>
    <n v="80"/>
    <n v="333.7999999999999"/>
    <n v="7.6735241052417962"/>
    <n v="23.1"/>
    <n v="33.218719070310804"/>
    <x v="2"/>
  </r>
  <r>
    <s v="HIP-101065"/>
    <s v="2025-05-20"/>
    <s v="Puerto Montt"/>
    <x v="10"/>
    <s v="J. Cáceres"/>
    <x v="4"/>
    <s v="Casa usada"/>
    <n v="2795"/>
    <n v="25"/>
    <n v="5.12"/>
    <n v="75"/>
    <n v="698.75"/>
    <n v="12.401473981195817"/>
    <n v="35.6"/>
    <n v="34.835601070774771"/>
    <x v="1"/>
  </r>
  <r>
    <s v="HIP-101066"/>
    <s v="2025-05-28"/>
    <s v="Valdivia"/>
    <x v="5"/>
    <s v="P. Vega"/>
    <x v="4"/>
    <s v="Casa nueva"/>
    <n v="7664"/>
    <n v="30"/>
    <n v="4.34"/>
    <n v="85"/>
    <n v="1149.6000000000001"/>
    <n v="32.39109642379735"/>
    <n v="89.4"/>
    <n v="36.231651480757662"/>
    <x v="1"/>
  </r>
  <r>
    <s v="HIP-101067"/>
    <s v="2025-07-21"/>
    <s v="La Serena"/>
    <x v="6"/>
    <s v="F. Soto"/>
    <x v="1"/>
    <s v="Departamento usado"/>
    <n v="9369"/>
    <n v="20"/>
    <n v="5.45"/>
    <n v="90"/>
    <n v="936.89999999999975"/>
    <n v="57.765482322651557"/>
    <n v="154.30000000000001"/>
    <n v="37.437123993941384"/>
    <x v="3"/>
  </r>
  <r>
    <s v="HIP-101068"/>
    <s v="2025-03-20"/>
    <s v="Valparaíso"/>
    <x v="2"/>
    <s v="E. Castro"/>
    <x v="4"/>
    <s v="Casa nueva"/>
    <n v="12194"/>
    <n v="20"/>
    <n v="5.52"/>
    <n v="75"/>
    <n v="3048.5"/>
    <n v="63.014085732589827"/>
    <n v="184.2"/>
    <n v="34.209601374913049"/>
    <x v="1"/>
  </r>
  <r>
    <s v="HIP-101069"/>
    <s v="2025-03-07"/>
    <s v="Temuco"/>
    <x v="3"/>
    <s v="G. Herrera"/>
    <x v="3"/>
    <s v="Departamento usado"/>
    <n v="12529"/>
    <n v="30"/>
    <n v="4.7"/>
    <n v="80"/>
    <n v="2505.7999999999993"/>
    <n v="51.984104915721332"/>
    <n v="225.4"/>
    <n v="23.06304565914877"/>
    <x v="0"/>
  </r>
  <r>
    <s v="HIP-101070"/>
    <s v="2025-08-17"/>
    <s v="Valparaíso"/>
    <x v="2"/>
    <s v="S. Bravo"/>
    <x v="3"/>
    <s v="Departamento nuevo"/>
    <n v="16755"/>
    <n v="30"/>
    <n v="3.97"/>
    <n v="85"/>
    <n v="2513.2500000000005"/>
    <n v="67.746207175677668"/>
    <n v="255.8"/>
    <n v="26.484052844283685"/>
    <x v="2"/>
  </r>
  <r>
    <s v="HIP-101071"/>
    <s v="2025-08-18"/>
    <s v="Valparaíso"/>
    <x v="2"/>
    <s v="C. Tapia"/>
    <x v="3"/>
    <s v="Departamento nuevo"/>
    <n v="9023"/>
    <n v="25"/>
    <n v="5.26"/>
    <n v="80"/>
    <n v="1804.5999999999997"/>
    <n v="43.298693876501424"/>
    <n v="109.2"/>
    <n v="39.65081856822475"/>
    <x v="3"/>
  </r>
  <r>
    <s v="HIP-101072"/>
    <s v="2025-02-04"/>
    <s v="Arica"/>
    <x v="4"/>
    <s v="N. Fuentes"/>
    <x v="2"/>
    <s v="Departamento usado"/>
    <n v="15496"/>
    <n v="15"/>
    <n v="4.28"/>
    <n v="80"/>
    <n v="3099.1999999999994"/>
    <n v="93.446785944525715"/>
    <n v="184.6"/>
    <n v="50.621227488908836"/>
    <x v="1"/>
  </r>
  <r>
    <s v="HIP-101073"/>
    <s v="2025-01-18"/>
    <s v="La Serena"/>
    <x v="6"/>
    <s v="M. Silva"/>
    <x v="3"/>
    <s v="Departamento nuevo"/>
    <n v="7716"/>
    <n v="20"/>
    <n v="5.35"/>
    <n v="80"/>
    <n v="1543.1999999999996"/>
    <n v="41.940654340991436"/>
    <n v="93.1"/>
    <n v="45.04903796024859"/>
    <x v="2"/>
  </r>
  <r>
    <s v="HIP-101074"/>
    <s v="2025-05-28"/>
    <s v="Iquique"/>
    <x v="8"/>
    <s v="F. Soto"/>
    <x v="4"/>
    <s v="Casa usada"/>
    <n v="9565"/>
    <n v="15"/>
    <n v="5.0599999999999996"/>
    <n v="75"/>
    <n v="2391.25"/>
    <n v="56.95402782755162"/>
    <n v="166.4"/>
    <n v="34.227180184826693"/>
    <x v="2"/>
  </r>
  <r>
    <s v="HIP-101075"/>
    <s v="2025-06-01"/>
    <s v="Iquique"/>
    <x v="8"/>
    <s v="F. Soto"/>
    <x v="4"/>
    <s v="Departamento usado"/>
    <n v="4017"/>
    <n v="25"/>
    <n v="5.71"/>
    <n v="75"/>
    <n v="1004.25"/>
    <n v="18.880647072341425"/>
    <n v="47"/>
    <n v="40.171589515620056"/>
    <x v="2"/>
  </r>
  <r>
    <s v="HIP-101076"/>
    <s v="2025-04-25"/>
    <s v="Arica"/>
    <x v="4"/>
    <s v="F. Soto"/>
    <x v="2"/>
    <s v="Casa nueva"/>
    <n v="8225"/>
    <n v="30"/>
    <n v="3.92"/>
    <n v="85"/>
    <n v="1233.7500000000002"/>
    <n v="33.055659919551502"/>
    <n v="113.5"/>
    <n v="29.123929444538771"/>
    <x v="1"/>
  </r>
  <r>
    <s v="HIP-101077"/>
    <s v="2025-06-05"/>
    <s v="La Florida"/>
    <x v="0"/>
    <s v="A. Rojas"/>
    <x v="0"/>
    <s v="Casa nueva"/>
    <n v="12975"/>
    <n v="25"/>
    <n v="5"/>
    <n v="80"/>
    <n v="2594.9999999999995"/>
    <n v="60.680446308528225"/>
    <n v="166"/>
    <n v="36.55448572802905"/>
    <x v="0"/>
  </r>
  <r>
    <s v="HIP-101078"/>
    <s v="2025-07-06"/>
    <s v="La Florida"/>
    <x v="0"/>
    <s v="G. Herrera"/>
    <x v="2"/>
    <s v="Casa nueva"/>
    <n v="8663"/>
    <n v="30"/>
    <n v="4.5999999999999996"/>
    <n v="70"/>
    <n v="2598.9000000000005"/>
    <n v="31.08726713260986"/>
    <n v="141.1"/>
    <n v="22.032081596463403"/>
    <x v="2"/>
  </r>
  <r>
    <s v="HIP-101079"/>
    <s v="2025-09-18"/>
    <s v="Copiapó"/>
    <x v="13"/>
    <s v="R. Pinto"/>
    <x v="1"/>
    <s v="Casa nueva"/>
    <n v="12438"/>
    <n v="20"/>
    <n v="4.87"/>
    <n v="80"/>
    <n v="2487.5999999999995"/>
    <n v="64.955756870881572"/>
    <n v="133"/>
    <n v="48.83891494051246"/>
    <x v="2"/>
  </r>
  <r>
    <s v="HIP-101080"/>
    <s v="2025-01-03"/>
    <s v="Antofagasta"/>
    <x v="7"/>
    <s v="T. Núñez"/>
    <x v="2"/>
    <s v="Departamento usado"/>
    <n v="7999"/>
    <n v="15"/>
    <n v="4.7"/>
    <n v="80"/>
    <n v="1599.7999999999997"/>
    <n v="49.610074677011987"/>
    <n v="89.5"/>
    <n v="55.430251035767583"/>
    <x v="2"/>
  </r>
  <r>
    <s v="HIP-101081"/>
    <s v="2025-12-13"/>
    <s v="Concepción"/>
    <x v="1"/>
    <s v="A. Rojas"/>
    <x v="3"/>
    <s v="Departamento usado"/>
    <n v="17215"/>
    <n v="25"/>
    <n v="4.08"/>
    <n v="80"/>
    <n v="3442.9999999999991"/>
    <n v="73.303408810662447"/>
    <n v="205.3"/>
    <n v="35.705508431886237"/>
    <x v="2"/>
  </r>
  <r>
    <s v="HIP-101082"/>
    <s v="2025-07-16"/>
    <s v="Talca"/>
    <x v="9"/>
    <s v="G. Herrera"/>
    <x v="0"/>
    <s v="Casa nueva"/>
    <n v="8351"/>
    <n v="25"/>
    <n v="3.91"/>
    <n v="85"/>
    <n v="1252.6500000000001"/>
    <n v="37.115862905486253"/>
    <n v="139.6"/>
    <n v="26.587294344904194"/>
    <x v="1"/>
  </r>
  <r>
    <s v="HIP-101083"/>
    <s v="2025-06-09"/>
    <s v="Santiago Centro"/>
    <x v="0"/>
    <s v="P. Vega"/>
    <x v="2"/>
    <s v="Casa nueva"/>
    <n v="8090"/>
    <n v="25"/>
    <n v="4.5"/>
    <n v="75"/>
    <n v="2022.5"/>
    <n v="33.725135600343677"/>
    <n v="143.4"/>
    <n v="23.518225662722227"/>
    <x v="2"/>
  </r>
  <r>
    <s v="HIP-101084"/>
    <s v="2025-04-06"/>
    <s v="Valdivia"/>
    <x v="5"/>
    <s v="B. Reyes"/>
    <x v="2"/>
    <s v="Departamento usado"/>
    <n v="17552"/>
    <n v="30"/>
    <n v="4.74"/>
    <n v="90"/>
    <n v="1755.1999999999996"/>
    <n v="82.308397178493365"/>
    <n v="294.60000000000002"/>
    <n v="27.939035023249616"/>
    <x v="2"/>
  </r>
  <r>
    <s v="HIP-101085"/>
    <s v="2025-09-21"/>
    <s v="Chillán"/>
    <x v="11"/>
    <s v="R. Pinto"/>
    <x v="1"/>
    <s v="Casa nueva"/>
    <n v="12003"/>
    <n v="30"/>
    <n v="5.34"/>
    <n v="80"/>
    <n v="2400.5999999999995"/>
    <n v="53.561346093226675"/>
    <n v="145.1"/>
    <n v="36.91340185611763"/>
    <x v="2"/>
  </r>
  <r>
    <s v="HIP-101086"/>
    <s v="2025-06-14"/>
    <s v="Puerto Montt"/>
    <x v="10"/>
    <s v="L. Muñoz"/>
    <x v="0"/>
    <s v="Casa usada"/>
    <n v="4303"/>
    <n v="25"/>
    <n v="5.0999999999999996"/>
    <n v="70"/>
    <n v="1290.9000000000001"/>
    <n v="17.784374311205621"/>
    <n v="68.2"/>
    <n v="26.07679517772085"/>
    <x v="2"/>
  </r>
  <r>
    <s v="HIP-101087"/>
    <s v="2025-07-10"/>
    <s v="Santiago Centro"/>
    <x v="0"/>
    <s v="B. Reyes"/>
    <x v="0"/>
    <s v="Departamento usado"/>
    <n v="10585"/>
    <n v="30"/>
    <n v="3.99"/>
    <n v="85"/>
    <n v="1587.7500000000002"/>
    <n v="42.902393583580597"/>
    <n v="155.5"/>
    <n v="27.589963719344436"/>
    <x v="2"/>
  </r>
  <r>
    <s v="HIP-101088"/>
    <s v="2025-04-03"/>
    <s v="Viña del Mar"/>
    <x v="2"/>
    <s v="L. Muñoz"/>
    <x v="2"/>
    <s v="Departamento usado"/>
    <n v="14911"/>
    <n v="25"/>
    <n v="5.24"/>
    <n v="85"/>
    <n v="2236.6500000000005"/>
    <n v="75.87599657669746"/>
    <n v="183.3"/>
    <n v="41.394433484286665"/>
    <x v="1"/>
  </r>
  <r>
    <s v="HIP-101089"/>
    <s v="2025-02-22"/>
    <s v="Talcahuano"/>
    <x v="1"/>
    <s v="C. Tapia"/>
    <x v="1"/>
    <s v="Casa usada"/>
    <n v="5242"/>
    <n v="30"/>
    <n v="4.42"/>
    <n v="70"/>
    <n v="1572.6000000000001"/>
    <n v="18.41829659954778"/>
    <n v="70.3"/>
    <n v="26.199568420409364"/>
    <x v="3"/>
  </r>
  <r>
    <s v="HIP-101090"/>
    <s v="2025-04-05"/>
    <s v="Rancagua"/>
    <x v="12"/>
    <s v="A. Rojas"/>
    <x v="1"/>
    <s v="Casa usada"/>
    <n v="12067"/>
    <n v="25"/>
    <n v="4.97"/>
    <n v="80"/>
    <n v="2413.3999999999996"/>
    <n v="56.265379744034561"/>
    <n v="130.19999999999999"/>
    <n v="43.214577376370634"/>
    <x v="2"/>
  </r>
  <r>
    <s v="HIP-101091"/>
    <s v="2025-11-03"/>
    <s v="Chillán"/>
    <x v="11"/>
    <s v="C. Tapia"/>
    <x v="4"/>
    <s v="Casa nueva"/>
    <n v="5013"/>
    <n v="30"/>
    <n v="5.47"/>
    <n v="80"/>
    <n v="1002.5999999999998"/>
    <n v="22.695182010635897"/>
    <n v="62.6"/>
    <n v="36.254284362038177"/>
    <x v="2"/>
  </r>
  <r>
    <s v="HIP-101092"/>
    <s v="2025-10-04"/>
    <s v="Talcahuano"/>
    <x v="1"/>
    <s v="C. Tapia"/>
    <x v="3"/>
    <s v="Casa usada"/>
    <n v="13429"/>
    <n v="25"/>
    <n v="4.41"/>
    <n v="70"/>
    <n v="4028.7000000000007"/>
    <n v="51.770875445508445"/>
    <n v="211.7"/>
    <n v="24.45483015848297"/>
    <x v="2"/>
  </r>
  <r>
    <s v="HIP-101093"/>
    <s v="2025-09-21"/>
    <s v="Rancagua"/>
    <x v="12"/>
    <s v="T. Núñez"/>
    <x v="1"/>
    <s v="Casa nueva"/>
    <n v="4345"/>
    <n v="20"/>
    <n v="4.1900000000000004"/>
    <n v="90"/>
    <n v="434.49999999999989"/>
    <n v="24.090195762604772"/>
    <n v="55.9"/>
    <n v="43.095162366019267"/>
    <x v="0"/>
  </r>
  <r>
    <s v="HIP-101094"/>
    <s v="2025-03-18"/>
    <s v="La Serena"/>
    <x v="6"/>
    <s v="E. Castro"/>
    <x v="3"/>
    <s v="Casa nueva"/>
    <n v="10453"/>
    <n v="25"/>
    <n v="5.5"/>
    <n v="80"/>
    <n v="2090.5999999999995"/>
    <n v="51.35245245454567"/>
    <n v="177"/>
    <n v="29.012685002568173"/>
    <x v="0"/>
  </r>
  <r>
    <s v="HIP-101095"/>
    <s v="2025-05-02"/>
    <s v="Talca"/>
    <x v="9"/>
    <s v="R. Pinto"/>
    <x v="2"/>
    <s v="Departamento nuevo"/>
    <n v="4288"/>
    <n v="30"/>
    <n v="5.07"/>
    <n v="80"/>
    <n v="857.5999999999998"/>
    <n v="18.562163840640366"/>
    <n v="66.5"/>
    <n v="27.913028331790024"/>
    <x v="0"/>
  </r>
  <r>
    <s v="HIP-101096"/>
    <s v="2025-11-03"/>
    <s v="Valdivia"/>
    <x v="5"/>
    <s v="M. Silva"/>
    <x v="0"/>
    <s v="Departamento usado"/>
    <n v="7396"/>
    <n v="25"/>
    <n v="5.74"/>
    <n v="75"/>
    <n v="1849"/>
    <n v="34.863019509105321"/>
    <n v="106.3"/>
    <n v="32.796819858048281"/>
    <x v="1"/>
  </r>
  <r>
    <s v="HIP-101097"/>
    <s v="2025-01-04"/>
    <s v="Talca"/>
    <x v="9"/>
    <s v="P. Vega"/>
    <x v="1"/>
    <s v="Casa nueva"/>
    <n v="16904"/>
    <n v="30"/>
    <n v="4.78"/>
    <n v="75"/>
    <n v="4226"/>
    <n v="66.363895014096897"/>
    <n v="178.4"/>
    <n v="37.199492720906328"/>
    <x v="3"/>
  </r>
  <r>
    <s v="HIP-101098"/>
    <s v="2025-04-07"/>
    <s v="Antofagasta"/>
    <x v="7"/>
    <s v="P. Vega"/>
    <x v="3"/>
    <s v="Casa usada"/>
    <n v="8815"/>
    <n v="20"/>
    <n v="5"/>
    <n v="80"/>
    <n v="1762.9999999999995"/>
    <n v="46.54007872955868"/>
    <n v="145.1"/>
    <n v="32.074485685429828"/>
    <x v="2"/>
  </r>
  <r>
    <s v="HIP-101099"/>
    <s v="2025-02-11"/>
    <s v="Iquique"/>
    <x v="8"/>
    <s v="B. Reyes"/>
    <x v="3"/>
    <s v="Casa nueva"/>
    <n v="3532"/>
    <n v="25"/>
    <n v="4.4800000000000004"/>
    <n v="75"/>
    <n v="883"/>
    <n v="14.693946892569656"/>
    <n v="45.1"/>
    <n v="32.580813509023628"/>
    <x v="1"/>
  </r>
  <r>
    <s v="HIP-101100"/>
    <s v="2025-07-26"/>
    <s v="Rancagua"/>
    <x v="12"/>
    <s v="R. Pinto"/>
    <x v="3"/>
    <s v="Departamento usado"/>
    <n v="10807"/>
    <n v="30"/>
    <n v="5.21"/>
    <n v="80"/>
    <n v="2161.3999999999996"/>
    <n v="47.527352537404319"/>
    <n v="136.4"/>
    <n v="34.844100100736306"/>
    <x v="3"/>
  </r>
  <r>
    <s v="HIP-101101"/>
    <s v="2025-10-12"/>
    <s v="La Florida"/>
    <x v="0"/>
    <s v="L. Muñoz"/>
    <x v="0"/>
    <s v="Departamento usado"/>
    <n v="7932"/>
    <n v="25"/>
    <n v="4.2300000000000004"/>
    <n v="85"/>
    <n v="1189.8000000000002"/>
    <n v="36.449604750982871"/>
    <n v="128.5"/>
    <n v="28.365451168080057"/>
    <x v="2"/>
  </r>
  <r>
    <s v="HIP-101102"/>
    <s v="2025-08-09"/>
    <s v="Rancagua"/>
    <x v="12"/>
    <s v="L. Muñoz"/>
    <x v="1"/>
    <s v="Casa usada"/>
    <n v="2114"/>
    <n v="15"/>
    <n v="4.41"/>
    <n v="80"/>
    <n v="422.7999999999999"/>
    <n v="12.859912579256267"/>
    <n v="29.4"/>
    <n v="43.741199249170982"/>
    <x v="2"/>
  </r>
  <r>
    <s v="HIP-101103"/>
    <s v="2025-06-17"/>
    <s v="Maipú"/>
    <x v="0"/>
    <s v="M. Silva"/>
    <x v="0"/>
    <s v="Casa usada"/>
    <n v="15532"/>
    <n v="30"/>
    <n v="4.1399999999999997"/>
    <n v="80"/>
    <n v="3106.3999999999992"/>
    <n v="60.328974348171883"/>
    <n v="240.7"/>
    <n v="25.063969400985414"/>
    <x v="2"/>
  </r>
  <r>
    <s v="HIP-101104"/>
    <s v="2025-01-18"/>
    <s v="Maipú"/>
    <x v="0"/>
    <s v="G. Herrera"/>
    <x v="2"/>
    <s v="Departamento nuevo"/>
    <n v="14691"/>
    <n v="25"/>
    <n v="4.91"/>
    <n v="80"/>
    <n v="2938.1999999999994"/>
    <n v="68.090836043367432"/>
    <n v="155"/>
    <n v="43.929571640882216"/>
    <x v="0"/>
  </r>
  <r>
    <s v="HIP-101105"/>
    <s v="2025-07-11"/>
    <s v="La Florida"/>
    <x v="0"/>
    <s v="V. Morales"/>
    <x v="4"/>
    <s v="Departamento nuevo"/>
    <n v="9131"/>
    <n v="20"/>
    <n v="4.21"/>
    <n v="85"/>
    <n v="1369.65"/>
    <n v="47.895521142037197"/>
    <n v="130.4"/>
    <n v="36.72969412732914"/>
    <x v="1"/>
  </r>
  <r>
    <s v="HIP-101106"/>
    <s v="2025-11-24"/>
    <s v="Iquique"/>
    <x v="8"/>
    <s v="G. Herrera"/>
    <x v="1"/>
    <s v="Departamento usado"/>
    <n v="8614"/>
    <n v="25"/>
    <n v="4.82"/>
    <n v="80"/>
    <n v="1722.7999999999997"/>
    <n v="39.565886875509754"/>
    <n v="120.8"/>
    <n v="32.753217612176947"/>
    <x v="2"/>
  </r>
  <r>
    <s v="HIP-101107"/>
    <s v="2025-01-18"/>
    <s v="Temuco"/>
    <x v="3"/>
    <s v="J. Cáceres"/>
    <x v="4"/>
    <s v="Casa nueva"/>
    <n v="17238"/>
    <n v="20"/>
    <n v="5.64"/>
    <n v="80"/>
    <n v="3447.5999999999995"/>
    <n v="95.956144950693471"/>
    <n v="211.3"/>
    <n v="45.412278727256727"/>
    <x v="2"/>
  </r>
  <r>
    <s v="HIP-101108"/>
    <s v="2025-10-19"/>
    <s v="Antofagasta"/>
    <x v="7"/>
    <s v="A. Rojas"/>
    <x v="0"/>
    <s v="Departamento nuevo"/>
    <n v="8326"/>
    <n v="25"/>
    <n v="4.88"/>
    <n v="80"/>
    <n v="1665.1999999999996"/>
    <n v="38.474105843498094"/>
    <n v="137.69999999999999"/>
    <n v="27.940527119461215"/>
    <x v="1"/>
  </r>
  <r>
    <s v="HIP-101109"/>
    <s v="2025-11-21"/>
    <s v="Chillán"/>
    <x v="11"/>
    <s v="B. Reyes"/>
    <x v="0"/>
    <s v="Departamento usado"/>
    <n v="10670"/>
    <n v="15"/>
    <n v="5.43"/>
    <n v="80"/>
    <n v="2133.9999999999995"/>
    <n v="69.429572931791554"/>
    <n v="141.19999999999999"/>
    <n v="49.171085645744732"/>
    <x v="2"/>
  </r>
  <r>
    <s v="HIP-101110"/>
    <s v="2025-01-02"/>
    <s v="La Florida"/>
    <x v="0"/>
    <s v="L. Muñoz"/>
    <x v="1"/>
    <s v="Casa usada"/>
    <n v="12162"/>
    <n v="25"/>
    <n v="5.73"/>
    <n v="90"/>
    <n v="1216.1999999999998"/>
    <n v="68.728499648471285"/>
    <n v="135.80000000000001"/>
    <n v="50.610088106385334"/>
    <x v="2"/>
  </r>
  <r>
    <s v="HIP-101111"/>
    <s v="2025-11-11"/>
    <s v="Temuco"/>
    <x v="3"/>
    <s v="T. Núñez"/>
    <x v="1"/>
    <s v="Casa usada"/>
    <n v="12584"/>
    <n v="30"/>
    <n v="4.0199999999999996"/>
    <n v="80"/>
    <n v="2516.7999999999993"/>
    <n v="48.178502396588186"/>
    <n v="217.5"/>
    <n v="22.151035584638244"/>
    <x v="1"/>
  </r>
  <r>
    <s v="HIP-101112"/>
    <s v="2025-08-15"/>
    <s v="Chillán"/>
    <x v="11"/>
    <s v="P. Vega"/>
    <x v="2"/>
    <s v="Casa usada"/>
    <n v="13231"/>
    <n v="30"/>
    <n v="4.3600000000000003"/>
    <n v="85"/>
    <n v="1984.6500000000003"/>
    <n v="56.051911412139511"/>
    <n v="195.2"/>
    <n v="28.715118551300979"/>
    <x v="1"/>
  </r>
  <r>
    <s v="HIP-101113"/>
    <s v="2025-06-22"/>
    <s v="Temuco"/>
    <x v="3"/>
    <s v="B. Reyes"/>
    <x v="2"/>
    <s v="Casa nueva"/>
    <n v="17610"/>
    <n v="20"/>
    <n v="4.12"/>
    <n v="70"/>
    <n v="5283.0000000000009"/>
    <n v="75.480953313251959"/>
    <n v="222"/>
    <n v="34.000429420383767"/>
    <x v="2"/>
  </r>
  <r>
    <s v="HIP-101114"/>
    <s v="2025-11-02"/>
    <s v="Maipú"/>
    <x v="0"/>
    <s v="D. Araya"/>
    <x v="4"/>
    <s v="Casa usada"/>
    <n v="5437"/>
    <n v="20"/>
    <n v="4.37"/>
    <n v="80"/>
    <n v="1087.3999999999999"/>
    <n v="27.213431026704399"/>
    <n v="62.7"/>
    <n v="43.402601318507813"/>
    <x v="2"/>
  </r>
  <r>
    <s v="HIP-101115"/>
    <s v="2025-12-01"/>
    <s v="Viña del Mar"/>
    <x v="2"/>
    <s v="R. Pinto"/>
    <x v="0"/>
    <s v="Casa usada"/>
    <n v="5344"/>
    <n v="25"/>
    <n v="4.12"/>
    <n v="90"/>
    <n v="534.39999999999986"/>
    <n v="25.706599392390924"/>
    <n v="76.400000000000006"/>
    <n v="33.647381403653036"/>
    <x v="2"/>
  </r>
  <r>
    <s v="HIP-101116"/>
    <s v="2025-10-23"/>
    <s v="Concepción"/>
    <x v="1"/>
    <s v="D. Araya"/>
    <x v="0"/>
    <s v="Departamento usado"/>
    <n v="13421"/>
    <n v="20"/>
    <n v="4.8499999999999996"/>
    <n v="75"/>
    <n v="3355.25"/>
    <n v="65.598252614736253"/>
    <n v="212"/>
    <n v="30.942571988083138"/>
    <x v="2"/>
  </r>
  <r>
    <s v="HIP-101117"/>
    <s v="2025-04-14"/>
    <s v="Maipú"/>
    <x v="0"/>
    <s v="V. Morales"/>
    <x v="4"/>
    <s v="Casa nueva"/>
    <n v="11203"/>
    <n v="15"/>
    <n v="4.49"/>
    <n v="80"/>
    <n v="2240.5999999999995"/>
    <n v="68.515962848720761"/>
    <n v="191.9"/>
    <n v="35.70399314680602"/>
    <x v="2"/>
  </r>
  <r>
    <s v="HIP-101118"/>
    <s v="2025-05-06"/>
    <s v="Copiapó"/>
    <x v="13"/>
    <s v="D. Araya"/>
    <x v="0"/>
    <s v="Departamento nuevo"/>
    <n v="5414"/>
    <n v="30"/>
    <n v="4.0999999999999996"/>
    <n v="75"/>
    <n v="1353.5"/>
    <n v="19.620269858616513"/>
    <n v="61.6"/>
    <n v="31.851087432819014"/>
    <x v="2"/>
  </r>
  <r>
    <s v="HIP-101119"/>
    <s v="2025-06-16"/>
    <s v="Viña del Mar"/>
    <x v="2"/>
    <s v="M. Silva"/>
    <x v="4"/>
    <s v="Departamento usado"/>
    <n v="13581"/>
    <n v="25"/>
    <n v="4.99"/>
    <n v="80"/>
    <n v="2716.1999999999994"/>
    <n v="63.451253756636525"/>
    <n v="196.2"/>
    <n v="32.340088560976824"/>
    <x v="1"/>
  </r>
  <r>
    <s v="HIP-101120"/>
    <s v="2025-02-01"/>
    <s v="Concepción"/>
    <x v="1"/>
    <s v="C. Tapia"/>
    <x v="2"/>
    <s v="Casa nueva"/>
    <n v="4427"/>
    <n v="30"/>
    <n v="5.71"/>
    <n v="90"/>
    <n v="442.69999999999987"/>
    <n v="23.150149267772175"/>
    <n v="75.2"/>
    <n v="30.784772962462998"/>
    <x v="2"/>
  </r>
  <r>
    <s v="HIP-101121"/>
    <s v="2025-04-11"/>
    <s v="Arica"/>
    <x v="4"/>
    <s v="M. Silva"/>
    <x v="1"/>
    <s v="Casa nueva"/>
    <n v="9514"/>
    <n v="30"/>
    <n v="5.54"/>
    <n v="75"/>
    <n v="2378.5"/>
    <n v="40.693841952313925"/>
    <n v="141.4"/>
    <n v="28.779237590038136"/>
    <x v="2"/>
  </r>
  <r>
    <s v="HIP-101122"/>
    <s v="2025-04-20"/>
    <s v="Arica"/>
    <x v="4"/>
    <s v="F. Soto"/>
    <x v="1"/>
    <s v="Departamento usado"/>
    <n v="5326"/>
    <n v="20"/>
    <n v="4.7300000000000004"/>
    <n v="85"/>
    <n v="798.90000000000009"/>
    <n v="29.205764359562668"/>
    <n v="68.5"/>
    <n v="42.636152349726522"/>
    <x v="2"/>
  </r>
  <r>
    <s v="HIP-101123"/>
    <s v="2025-10-19"/>
    <s v="Valparaíso"/>
    <x v="2"/>
    <s v="D. Araya"/>
    <x v="3"/>
    <s v="Casa nueva"/>
    <n v="8779"/>
    <n v="25"/>
    <n v="5.47"/>
    <n v="90"/>
    <n v="877.89999999999975"/>
    <n v="48.378214191076339"/>
    <n v="104.2"/>
    <n v="46.428228590284391"/>
    <x v="1"/>
  </r>
  <r>
    <s v="HIP-101124"/>
    <s v="2025-04-03"/>
    <s v="Arica"/>
    <x v="4"/>
    <s v="B. Reyes"/>
    <x v="2"/>
    <s v="Departamento usado"/>
    <n v="15162"/>
    <n v="25"/>
    <n v="3.99"/>
    <n v="80"/>
    <n v="3032.3999999999992"/>
    <n v="63.957542252831615"/>
    <n v="170.7"/>
    <n v="37.467804483205406"/>
    <x v="1"/>
  </r>
  <r>
    <s v="HIP-101125"/>
    <s v="2025-03-26"/>
    <s v="Viña del Mar"/>
    <x v="2"/>
    <s v="M. Silva"/>
    <x v="3"/>
    <s v="Departamento nuevo"/>
    <n v="14287"/>
    <n v="30"/>
    <n v="4.9800000000000004"/>
    <n v="70"/>
    <n v="4286.1000000000004"/>
    <n v="53.564817743276308"/>
    <n v="156.6"/>
    <n v="34.204864459307984"/>
    <x v="2"/>
  </r>
  <r>
    <s v="HIP-101126"/>
    <s v="2025-06-10"/>
    <s v="Talcahuano"/>
    <x v="1"/>
    <s v="B. Reyes"/>
    <x v="3"/>
    <s v="Casa nueva"/>
    <n v="13833"/>
    <n v="25"/>
    <n v="3.9"/>
    <n v="90"/>
    <n v="1383.2999999999997"/>
    <n v="65.028639160959514"/>
    <n v="153.1"/>
    <n v="42.4746173487652"/>
    <x v="0"/>
  </r>
  <r>
    <s v="HIP-101127"/>
    <s v="2025-10-10"/>
    <s v="Valparaíso"/>
    <x v="2"/>
    <s v="A. Rojas"/>
    <x v="2"/>
    <s v="Casa nueva"/>
    <n v="11170"/>
    <n v="25"/>
    <n v="4.24"/>
    <n v="85"/>
    <n v="1675.5000000000002"/>
    <n v="51.382176133699616"/>
    <n v="151.69999999999999"/>
    <n v="33.870913733486894"/>
    <x v="2"/>
  </r>
  <r>
    <s v="HIP-101128"/>
    <s v="2025-07-19"/>
    <s v="La Florida"/>
    <x v="0"/>
    <s v="C. Tapia"/>
    <x v="3"/>
    <s v="Casa usada"/>
    <n v="11154"/>
    <n v="25"/>
    <n v="5.56"/>
    <n v="85"/>
    <n v="1673.1000000000001"/>
    <n v="58.561225620066764"/>
    <n v="136.30000000000001"/>
    <n v="42.964949097627851"/>
    <x v="0"/>
  </r>
  <r>
    <s v="HIP-101129"/>
    <s v="2025-06-14"/>
    <s v="La Serena"/>
    <x v="6"/>
    <s v="P. Vega"/>
    <x v="0"/>
    <s v="Departamento nuevo"/>
    <n v="12831"/>
    <n v="20"/>
    <n v="4.6900000000000004"/>
    <n v="80"/>
    <n v="2566.1999999999994"/>
    <n v="65.99767054543203"/>
    <n v="214.2"/>
    <n v="30.81123741616808"/>
    <x v="2"/>
  </r>
  <r>
    <s v="HIP-101130"/>
    <s v="2025-12-02"/>
    <s v="Concepción"/>
    <x v="1"/>
    <s v="V. Morales"/>
    <x v="4"/>
    <s v="Casa usada"/>
    <n v="13958"/>
    <n v="20"/>
    <n v="4.16"/>
    <n v="75"/>
    <n v="3489.5"/>
    <n v="64.32311055914397"/>
    <n v="159.4"/>
    <n v="40.353268857681286"/>
    <x v="1"/>
  </r>
  <r>
    <s v="HIP-101131"/>
    <s v="2025-05-06"/>
    <s v="La Florida"/>
    <x v="0"/>
    <s v="E. Castro"/>
    <x v="1"/>
    <s v="Departamento usado"/>
    <n v="7793"/>
    <n v="15"/>
    <n v="4.32"/>
    <n v="80"/>
    <n v="1558.5999999999997"/>
    <n v="47.121220205019931"/>
    <n v="85.9"/>
    <n v="54.85590245054707"/>
    <x v="3"/>
  </r>
  <r>
    <s v="HIP-101132"/>
    <s v="2025-09-18"/>
    <s v="Las Condes"/>
    <x v="0"/>
    <s v="G. Herrera"/>
    <x v="2"/>
    <s v="Departamento usado"/>
    <n v="13555"/>
    <n v="15"/>
    <n v="5.76"/>
    <n v="80"/>
    <n v="2710.9999999999995"/>
    <n v="90.107746924569398"/>
    <n v="208"/>
    <n v="43.32103217527375"/>
    <x v="2"/>
  </r>
  <r>
    <s v="HIP-101133"/>
    <s v="2025-12-22"/>
    <s v="Maipú"/>
    <x v="0"/>
    <s v="P. Vega"/>
    <x v="3"/>
    <s v="Departamento nuevo"/>
    <n v="13942"/>
    <n v="25"/>
    <n v="4.7300000000000004"/>
    <n v="85"/>
    <n v="2091.3000000000002"/>
    <n v="67.426646131909351"/>
    <n v="151.6"/>
    <n v="44.476679506536513"/>
    <x v="2"/>
  </r>
  <r>
    <s v="HIP-101134"/>
    <s v="2025-02-14"/>
    <s v="Concepción"/>
    <x v="1"/>
    <s v="P. Vega"/>
    <x v="1"/>
    <s v="Casa nueva"/>
    <n v="2097"/>
    <n v="25"/>
    <n v="4.13"/>
    <n v="70"/>
    <n v="629.10000000000014"/>
    <n v="7.8538703360583737"/>
    <n v="35"/>
    <n v="22.439629531595354"/>
    <x v="1"/>
  </r>
  <r>
    <s v="HIP-101135"/>
    <s v="2025-11-11"/>
    <s v="Valparaíso"/>
    <x v="2"/>
    <s v="B. Reyes"/>
    <x v="3"/>
    <s v="Departamento usado"/>
    <n v="10093"/>
    <n v="30"/>
    <n v="3.95"/>
    <n v="85"/>
    <n v="1513.9500000000003"/>
    <n v="40.710786735465021"/>
    <n v="120"/>
    <n v="33.925655612887518"/>
    <x v="2"/>
  </r>
  <r>
    <s v="HIP-101136"/>
    <s v="2025-09-01"/>
    <s v="Chillán"/>
    <x v="11"/>
    <s v="A. Rojas"/>
    <x v="0"/>
    <s v="Casa nueva"/>
    <n v="7478"/>
    <n v="15"/>
    <n v="5.3"/>
    <n v="80"/>
    <n v="1495.5999999999997"/>
    <n v="48.248603693207372"/>
    <n v="93.6"/>
    <n v="51.547653518383953"/>
    <x v="2"/>
  </r>
  <r>
    <s v="HIP-101137"/>
    <s v="2025-07-26"/>
    <s v="Puerto Montt"/>
    <x v="10"/>
    <s v="M. Silva"/>
    <x v="0"/>
    <s v="Casa nueva"/>
    <n v="7254"/>
    <n v="25"/>
    <n v="5.0199999999999996"/>
    <n v="80"/>
    <n v="1450.7999999999997"/>
    <n v="33.992585541037094"/>
    <n v="88.7"/>
    <n v="38.323095311203033"/>
    <x v="2"/>
  </r>
  <r>
    <s v="HIP-101138"/>
    <s v="2025-05-01"/>
    <s v="Talcahuano"/>
    <x v="1"/>
    <s v="F. Soto"/>
    <x v="3"/>
    <s v="Casa usada"/>
    <n v="11090"/>
    <n v="20"/>
    <n v="5.24"/>
    <n v="80"/>
    <n v="2217.9999999999995"/>
    <n v="59.733902682052054"/>
    <n v="121.6"/>
    <n v="49.1232752319507"/>
    <x v="2"/>
  </r>
  <r>
    <s v="HIP-101139"/>
    <s v="2025-07-28"/>
    <s v="Maipú"/>
    <x v="0"/>
    <s v="V. Morales"/>
    <x v="2"/>
    <s v="Departamento usado"/>
    <n v="3855"/>
    <n v="15"/>
    <n v="5.78"/>
    <n v="70"/>
    <n v="1156.5000000000002"/>
    <n v="22.451988728216133"/>
    <n v="49.3"/>
    <n v="45.541559286442464"/>
    <x v="2"/>
  </r>
  <r>
    <s v="HIP-101140"/>
    <s v="2025-06-24"/>
    <s v="Maipú"/>
    <x v="0"/>
    <s v="N. Fuentes"/>
    <x v="3"/>
    <s v="Casa nueva"/>
    <n v="11919"/>
    <n v="15"/>
    <n v="4.42"/>
    <n v="70"/>
    <n v="3575.7000000000007"/>
    <n v="63.485090176395225"/>
    <n v="127.2"/>
    <n v="49.909662088361024"/>
    <x v="0"/>
  </r>
  <r>
    <s v="HIP-101141"/>
    <s v="2025-08-02"/>
    <s v="Talca"/>
    <x v="9"/>
    <s v="L. Muñoz"/>
    <x v="0"/>
    <s v="Casa usada"/>
    <n v="6871"/>
    <n v="20"/>
    <n v="5.0599999999999996"/>
    <n v="80"/>
    <n v="1374.1999999999996"/>
    <n v="36.458887291908795"/>
    <n v="86.7"/>
    <n v="42.05177311638846"/>
    <x v="2"/>
  </r>
  <r>
    <s v="HIP-101142"/>
    <s v="2025-07-19"/>
    <s v="Puerto Montt"/>
    <x v="10"/>
    <s v="V. Morales"/>
    <x v="0"/>
    <s v="Departamento nuevo"/>
    <n v="13822"/>
    <n v="20"/>
    <n v="5.08"/>
    <n v="70"/>
    <n v="4146.6000000000004"/>
    <n v="64.281722871851372"/>
    <n v="154.19999999999999"/>
    <n v="41.687239216505432"/>
    <x v="2"/>
  </r>
  <r>
    <s v="HIP-101143"/>
    <s v="2025-12-03"/>
    <s v="La Serena"/>
    <x v="6"/>
    <s v="V. Morales"/>
    <x v="0"/>
    <s v="Casa nueva"/>
    <n v="16716"/>
    <n v="25"/>
    <n v="5.03"/>
    <n v="70"/>
    <n v="5014.8000000000011"/>
    <n v="68.608728423832446"/>
    <n v="184.7"/>
    <n v="37.146035963092828"/>
    <x v="2"/>
  </r>
  <r>
    <s v="HIP-101144"/>
    <s v="2025-01-07"/>
    <s v="Las Condes"/>
    <x v="0"/>
    <s v="V. Morales"/>
    <x v="1"/>
    <s v="Departamento usado"/>
    <n v="12380"/>
    <n v="30"/>
    <n v="4.71"/>
    <n v="85"/>
    <n v="1857.0000000000002"/>
    <n v="54.639523537097269"/>
    <n v="160.30000000000001"/>
    <n v="34.085791351900973"/>
    <x v="2"/>
  </r>
  <r>
    <s v="HIP-101145"/>
    <s v="2025-11-01"/>
    <s v="Providencia"/>
    <x v="0"/>
    <s v="J. Cáceres"/>
    <x v="1"/>
    <s v="Departamento nuevo"/>
    <n v="16491"/>
    <n v="30"/>
    <n v="4.6900000000000004"/>
    <n v="70"/>
    <n v="4947.3000000000011"/>
    <n v="59.80062862895057"/>
    <n v="265.60000000000002"/>
    <n v="22.515296923550665"/>
    <x v="2"/>
  </r>
  <r>
    <s v="HIP-101146"/>
    <s v="2025-07-05"/>
    <s v="Talcahuano"/>
    <x v="1"/>
    <s v="F. Soto"/>
    <x v="4"/>
    <s v="Casa nueva"/>
    <n v="15067"/>
    <n v="25"/>
    <n v="4.03"/>
    <n v="80"/>
    <n v="3013.3999999999992"/>
    <n v="63.823174506828657"/>
    <n v="246.2"/>
    <n v="25.923304023894662"/>
    <x v="2"/>
  </r>
  <r>
    <s v="HIP-101147"/>
    <s v="2025-08-01"/>
    <s v="Temuco"/>
    <x v="3"/>
    <s v="A. Rojas"/>
    <x v="3"/>
    <s v="Casa usada"/>
    <n v="13356"/>
    <n v="25"/>
    <n v="4.3499999999999996"/>
    <n v="85"/>
    <n v="2003.4000000000003"/>
    <n v="62.138776431588802"/>
    <n v="215.4"/>
    <n v="28.848085622836027"/>
    <x v="2"/>
  </r>
  <r>
    <s v="HIP-101148"/>
    <s v="2025-10-23"/>
    <s v="La Florida"/>
    <x v="0"/>
    <s v="E. Castro"/>
    <x v="4"/>
    <s v="Casa nueva"/>
    <n v="6076"/>
    <n v="25"/>
    <n v="5.03"/>
    <n v="75"/>
    <n v="1519"/>
    <n v="26.719479662547808"/>
    <n v="78.5"/>
    <n v="34.037553710251984"/>
    <x v="2"/>
  </r>
  <r>
    <s v="HIP-101149"/>
    <s v="2025-12-16"/>
    <s v="Valdivia"/>
    <x v="5"/>
    <s v="N. Fuentes"/>
    <x v="0"/>
    <s v="Casa usada"/>
    <n v="14409"/>
    <n v="25"/>
    <n v="5.43"/>
    <n v="70"/>
    <n v="4322.7000000000007"/>
    <n v="61.51777281882584"/>
    <n v="236.4"/>
    <n v="26.022746539266429"/>
    <x v="3"/>
  </r>
  <r>
    <s v="HIP-101150"/>
    <s v="2025-01-10"/>
    <s v="Temuco"/>
    <x v="3"/>
    <s v="D. Araya"/>
    <x v="4"/>
    <s v="Departamento nuevo"/>
    <n v="11667"/>
    <n v="25"/>
    <n v="4.2"/>
    <n v="80"/>
    <n v="2333.3999999999996"/>
    <n v="50.30272017919544"/>
    <n v="144"/>
    <n v="34.932444568885721"/>
    <x v="2"/>
  </r>
  <r>
    <s v="HIP-101151"/>
    <s v="2025-03-22"/>
    <s v="Arica"/>
    <x v="4"/>
    <s v="C. Tapia"/>
    <x v="3"/>
    <s v="Departamento nuevo"/>
    <n v="2760"/>
    <n v="20"/>
    <n v="5.28"/>
    <n v="80"/>
    <n v="551.99999999999989"/>
    <n v="14.915508240677477"/>
    <n v="31.1"/>
    <n v="47.959833571310213"/>
    <x v="3"/>
  </r>
  <r>
    <s v="HIP-101152"/>
    <s v="2025-12-18"/>
    <s v="Talca"/>
    <x v="9"/>
    <s v="B. Reyes"/>
    <x v="0"/>
    <s v="Departamento nuevo"/>
    <n v="8645"/>
    <n v="30"/>
    <n v="5.21"/>
    <n v="90"/>
    <n v="864.49999999999977"/>
    <n v="42.771648748181072"/>
    <n v="150"/>
    <n v="28.514432498787379"/>
    <x v="2"/>
  </r>
  <r>
    <s v="HIP-101153"/>
    <s v="2025-05-22"/>
    <s v="Valdivia"/>
    <x v="5"/>
    <s v="R. Pinto"/>
    <x v="4"/>
    <s v="Departamento usado"/>
    <n v="2871"/>
    <n v="15"/>
    <n v="5.6"/>
    <n v="75"/>
    <n v="717.75"/>
    <n v="17.708320328536178"/>
    <n v="40.6"/>
    <n v="43.616552533340339"/>
    <x v="1"/>
  </r>
  <r>
    <s v="HIP-101154"/>
    <s v="2025-05-27"/>
    <s v="Temuco"/>
    <x v="3"/>
    <s v="S. Bravo"/>
    <x v="0"/>
    <s v="Departamento usado"/>
    <n v="14507"/>
    <n v="25"/>
    <n v="5.59"/>
    <n v="90"/>
    <n v="1450.6999999999996"/>
    <n v="80.880360526730371"/>
    <n v="228.6"/>
    <n v="35.380735138552225"/>
    <x v="1"/>
  </r>
  <r>
    <s v="HIP-101155"/>
    <s v="2025-12-08"/>
    <s v="Talca"/>
    <x v="9"/>
    <s v="M. Silva"/>
    <x v="0"/>
    <s v="Casa usada"/>
    <n v="16368"/>
    <n v="30"/>
    <n v="5.39"/>
    <n v="85"/>
    <n v="2455.2000000000003"/>
    <n v="78.037831508777771"/>
    <n v="243"/>
    <n v="32.114333954229537"/>
    <x v="2"/>
  </r>
  <r>
    <s v="HIP-101156"/>
    <s v="2025-12-24"/>
    <s v="Talca"/>
    <x v="9"/>
    <s v="T. Núñez"/>
    <x v="3"/>
    <s v="Casa usada"/>
    <n v="12746"/>
    <n v="30"/>
    <n v="5.59"/>
    <n v="70"/>
    <n v="3823.8000000000006"/>
    <n v="51.164227569093825"/>
    <n v="195.3"/>
    <n v="26.197761172091049"/>
    <x v="0"/>
  </r>
  <r>
    <s v="HIP-101157"/>
    <s v="2025-06-23"/>
    <s v="Valdivia"/>
    <x v="5"/>
    <s v="C. Tapia"/>
    <x v="2"/>
    <s v="Casa nueva"/>
    <n v="11297"/>
    <n v="20"/>
    <n v="4.97"/>
    <n v="90"/>
    <n v="1129.6999999999998"/>
    <n v="66.931295372880172"/>
    <n v="193.5"/>
    <n v="34.589816730170632"/>
    <x v="2"/>
  </r>
  <r>
    <s v="HIP-101158"/>
    <s v="2025-05-07"/>
    <s v="Puerto Montt"/>
    <x v="10"/>
    <s v="M. Silva"/>
    <x v="0"/>
    <s v="Departamento nuevo"/>
    <n v="10085"/>
    <n v="25"/>
    <n v="4.08"/>
    <n v="75"/>
    <n v="2521.25"/>
    <n v="40.259124193410408"/>
    <n v="181.5"/>
    <n v="22.181335643752291"/>
    <x v="0"/>
  </r>
  <r>
    <s v="HIP-101159"/>
    <s v="2025-11-20"/>
    <s v="Maipú"/>
    <x v="0"/>
    <s v="M. Silva"/>
    <x v="4"/>
    <s v="Departamento nuevo"/>
    <n v="8441"/>
    <n v="25"/>
    <n v="5.65"/>
    <n v="80"/>
    <n v="1688.1999999999996"/>
    <n v="42.075179827518703"/>
    <n v="89.5"/>
    <n v="47.011374108959444"/>
    <x v="0"/>
  </r>
  <r>
    <s v="HIP-101160"/>
    <s v="2025-01-26"/>
    <s v="La Florida"/>
    <x v="0"/>
    <s v="S. Bravo"/>
    <x v="4"/>
    <s v="Casa nueva"/>
    <n v="10362"/>
    <n v="25"/>
    <n v="4.8499999999999996"/>
    <n v="90"/>
    <n v="1036.1999999999998"/>
    <n v="53.70579499426664"/>
    <n v="111.9"/>
    <n v="47.994454865296369"/>
    <x v="2"/>
  </r>
  <r>
    <s v="HIP-101161"/>
    <s v="2025-12-15"/>
    <s v="Viña del Mar"/>
    <x v="2"/>
    <s v="E. Castro"/>
    <x v="3"/>
    <s v="Departamento nuevo"/>
    <n v="7352"/>
    <n v="20"/>
    <n v="4.05"/>
    <n v="80"/>
    <n v="1470.3999999999996"/>
    <n v="35.796489801275946"/>
    <n v="78.2"/>
    <n v="45.775562405723711"/>
    <x v="2"/>
  </r>
  <r>
    <s v="HIP-101162"/>
    <s v="2025-07-19"/>
    <s v="Temuco"/>
    <x v="3"/>
    <s v="V. Morales"/>
    <x v="3"/>
    <s v="Departamento usado"/>
    <n v="16026"/>
    <n v="25"/>
    <n v="4.57"/>
    <n v="80"/>
    <n v="3205.1999999999994"/>
    <n v="71.772525234879353"/>
    <n v="188.9"/>
    <n v="37.994984242921838"/>
    <x v="1"/>
  </r>
  <r>
    <s v="HIP-101163"/>
    <s v="2025-07-27"/>
    <s v="Providencia"/>
    <x v="0"/>
    <s v="C. Tapia"/>
    <x v="3"/>
    <s v="Casa nueva"/>
    <n v="1898"/>
    <n v="20"/>
    <n v="5.59"/>
    <n v="80"/>
    <n v="379.59999999999991"/>
    <n v="10.522214327254545"/>
    <n v="22.9"/>
    <n v="45.948534180150858"/>
    <x v="2"/>
  </r>
  <r>
    <s v="HIP-101164"/>
    <s v="2025-01-22"/>
    <s v="Viña del Mar"/>
    <x v="2"/>
    <s v="V. Morales"/>
    <x v="1"/>
    <s v="Casa nueva"/>
    <n v="10587"/>
    <n v="30"/>
    <n v="3.91"/>
    <n v="75"/>
    <n v="2646.75"/>
    <n v="37.497138779835758"/>
    <n v="123.1"/>
    <n v="30.460713874765037"/>
    <x v="3"/>
  </r>
  <r>
    <s v="HIP-101165"/>
    <s v="2025-10-14"/>
    <s v="Antofagasta"/>
    <x v="7"/>
    <s v="L. Muñoz"/>
    <x v="0"/>
    <s v="Casa nueva"/>
    <n v="12796"/>
    <n v="30"/>
    <n v="5.26"/>
    <n v="90"/>
    <n v="1279.5999999999997"/>
    <n v="63.665335962464148"/>
    <n v="144.69999999999999"/>
    <n v="43.998158923610333"/>
    <x v="1"/>
  </r>
  <r>
    <s v="HIP-101166"/>
    <s v="2025-02-16"/>
    <s v="Valparaíso"/>
    <x v="2"/>
    <s v="C. Tapia"/>
    <x v="0"/>
    <s v="Departamento usado"/>
    <n v="13761"/>
    <n v="30"/>
    <n v="4.12"/>
    <n v="85"/>
    <n v="2064.15"/>
    <n v="56.654778650563848"/>
    <n v="155.80000000000001"/>
    <n v="36.363786040156512"/>
    <x v="3"/>
  </r>
  <r>
    <s v="HIP-101167"/>
    <s v="2025-01-25"/>
    <s v="Rancagua"/>
    <x v="12"/>
    <s v="C. Tapia"/>
    <x v="4"/>
    <s v="Casa nueva"/>
    <n v="11590"/>
    <n v="30"/>
    <n v="4.84"/>
    <n v="80"/>
    <n v="2317.9999999999995"/>
    <n v="48.871400772155653"/>
    <n v="162.9"/>
    <n v="30.000859896964794"/>
    <x v="2"/>
  </r>
  <r>
    <s v="HIP-101168"/>
    <s v="2025-09-18"/>
    <s v="La Serena"/>
    <x v="6"/>
    <s v="J. Cáceres"/>
    <x v="0"/>
    <s v="Casa usada"/>
    <n v="5613"/>
    <n v="25"/>
    <n v="5.12"/>
    <n v="80"/>
    <n v="1122.5999999999997"/>
    <n v="26.565332744263181"/>
    <n v="72.3"/>
    <n v="36.743198816408274"/>
    <x v="2"/>
  </r>
  <r>
    <s v="HIP-101169"/>
    <s v="2025-11-08"/>
    <s v="Puerto Montt"/>
    <x v="10"/>
    <s v="E. Castro"/>
    <x v="3"/>
    <s v="Departamento nuevo"/>
    <n v="10329"/>
    <n v="25"/>
    <n v="4.1100000000000003"/>
    <n v="80"/>
    <n v="2065.7999999999997"/>
    <n v="44.119657498623731"/>
    <n v="143.5"/>
    <n v="30.745405922385878"/>
    <x v="2"/>
  </r>
  <r>
    <s v="HIP-101170"/>
    <s v="2025-01-21"/>
    <s v="Iquique"/>
    <x v="8"/>
    <s v="V. Morales"/>
    <x v="3"/>
    <s v="Casa nueva"/>
    <n v="13842"/>
    <n v="20"/>
    <n v="4.12"/>
    <n v="85"/>
    <n v="2076.3000000000002"/>
    <n v="72.043988999572363"/>
    <n v="154"/>
    <n v="46.781811038683351"/>
    <x v="2"/>
  </r>
  <r>
    <s v="HIP-101171"/>
    <s v="2025-08-13"/>
    <s v="Maipú"/>
    <x v="0"/>
    <s v="R. Pinto"/>
    <x v="2"/>
    <s v="Departamento usado"/>
    <n v="12436"/>
    <n v="30"/>
    <n v="4.6100000000000003"/>
    <n v="80"/>
    <n v="2487.1999999999994"/>
    <n v="51.061436977715879"/>
    <n v="165.7"/>
    <n v="30.815592623847849"/>
    <x v="2"/>
  </r>
  <r>
    <s v="HIP-101172"/>
    <s v="2025-12-27"/>
    <s v="Talca"/>
    <x v="9"/>
    <s v="R. Pinto"/>
    <x v="4"/>
    <s v="Departamento usado"/>
    <n v="7681"/>
    <n v="30"/>
    <n v="4.53"/>
    <n v="80"/>
    <n v="1536.1999999999996"/>
    <n v="31.244427731815172"/>
    <n v="116.5"/>
    <n v="26.819251271944356"/>
    <x v="2"/>
  </r>
  <r>
    <s v="HIP-101173"/>
    <s v="2025-11-11"/>
    <s v="Las Condes"/>
    <x v="0"/>
    <s v="C. Tapia"/>
    <x v="0"/>
    <s v="Casa usada"/>
    <n v="1778"/>
    <n v="20"/>
    <n v="4.1900000000000004"/>
    <n v="80"/>
    <n v="355.59999999999991"/>
    <n v="8.762535341447137"/>
    <n v="20.9"/>
    <n v="41.926006418407354"/>
    <x v="2"/>
  </r>
  <r>
    <s v="HIP-101174"/>
    <s v="2025-08-04"/>
    <s v="Copiapó"/>
    <x v="13"/>
    <s v="T. Núñez"/>
    <x v="1"/>
    <s v="Departamento usado"/>
    <n v="7633"/>
    <n v="15"/>
    <n v="5.32"/>
    <n v="80"/>
    <n v="1526.5999999999997"/>
    <n v="49.313032656099374"/>
    <n v="86.3"/>
    <n v="57.141405163498696"/>
    <x v="2"/>
  </r>
  <r>
    <s v="HIP-101175"/>
    <s v="2025-05-26"/>
    <s v="Valdivia"/>
    <x v="5"/>
    <s v="L. Muñoz"/>
    <x v="4"/>
    <s v="Departamento usado"/>
    <n v="7819"/>
    <n v="30"/>
    <n v="4.3899999999999997"/>
    <n v="80"/>
    <n v="1563.7999999999997"/>
    <n v="31.286658047018491"/>
    <n v="88.9"/>
    <n v="35.19309116649999"/>
    <x v="2"/>
  </r>
  <r>
    <s v="HIP-101176"/>
    <s v="2025-02-05"/>
    <s v="La Serena"/>
    <x v="6"/>
    <s v="C. Tapia"/>
    <x v="0"/>
    <s v="Casa nueva"/>
    <n v="13476"/>
    <n v="25"/>
    <n v="5.75"/>
    <n v="80"/>
    <n v="2695.1999999999994"/>
    <n v="67.822703032381924"/>
    <n v="234.7"/>
    <n v="28.897615267312283"/>
    <x v="2"/>
  </r>
  <r>
    <s v="HIP-101177"/>
    <s v="2025-06-26"/>
    <s v="Valparaíso"/>
    <x v="2"/>
    <s v="P. Vega"/>
    <x v="1"/>
    <s v="Casa usada"/>
    <n v="9765"/>
    <n v="30"/>
    <n v="5.17"/>
    <n v="75"/>
    <n v="2441.25"/>
    <n v="40.07988874707619"/>
    <n v="110.2"/>
    <n v="36.370134979197992"/>
    <x v="3"/>
  </r>
  <r>
    <s v="HIP-101178"/>
    <s v="2025-10-10"/>
    <s v="Santiago Centro"/>
    <x v="0"/>
    <s v="D. Araya"/>
    <x v="3"/>
    <s v="Casa usada"/>
    <n v="7520"/>
    <n v="20"/>
    <n v="5.37"/>
    <n v="75"/>
    <n v="1880"/>
    <n v="38.383903597301327"/>
    <n v="91.2"/>
    <n v="42.087613593532154"/>
    <x v="3"/>
  </r>
  <r>
    <s v="HIP-101179"/>
    <s v="2025-12-11"/>
    <s v="Valdivia"/>
    <x v="5"/>
    <s v="F. Soto"/>
    <x v="3"/>
    <s v="Casa nueva"/>
    <n v="11295"/>
    <n v="30"/>
    <n v="5.49"/>
    <n v="70"/>
    <n v="3388.5000000000005"/>
    <n v="44.842643430750044"/>
    <n v="125.8"/>
    <n v="35.645980469594626"/>
    <x v="0"/>
  </r>
  <r>
    <s v="HIP-101180"/>
    <s v="2025-11-20"/>
    <s v="Iquique"/>
    <x v="8"/>
    <s v="A. Rojas"/>
    <x v="0"/>
    <s v="Casa usada"/>
    <n v="12231"/>
    <n v="20"/>
    <n v="5.69"/>
    <n v="85"/>
    <n v="1834.6500000000003"/>
    <n v="72.635404170158083"/>
    <n v="206"/>
    <n v="35.259904936969946"/>
    <x v="2"/>
  </r>
  <r>
    <s v="HIP-101181"/>
    <s v="2025-12-24"/>
    <s v="Antofagasta"/>
    <x v="7"/>
    <s v="R. Pinto"/>
    <x v="0"/>
    <s v="Casa usada"/>
    <n v="6396"/>
    <n v="30"/>
    <n v="4.41"/>
    <n v="80"/>
    <n v="1279.1999999999998"/>
    <n v="25.653168018431106"/>
    <n v="86.5"/>
    <n v="29.65684163980475"/>
    <x v="0"/>
  </r>
  <r>
    <s v="HIP-101182"/>
    <s v="2025-08-28"/>
    <s v="Rancagua"/>
    <x v="12"/>
    <s v="N. Fuentes"/>
    <x v="3"/>
    <s v="Departamento nuevo"/>
    <n v="16286"/>
    <n v="20"/>
    <n v="4.68"/>
    <n v="85"/>
    <n v="2442.9000000000005"/>
    <n v="88.929024049283598"/>
    <n v="215.5"/>
    <n v="41.266368468345057"/>
    <x v="2"/>
  </r>
  <r>
    <s v="HIP-101183"/>
    <s v="2025-06-06"/>
    <s v="Maipú"/>
    <x v="0"/>
    <s v="D. Araya"/>
    <x v="0"/>
    <s v="Casa usada"/>
    <n v="7712"/>
    <n v="25"/>
    <n v="4.09"/>
    <n v="85"/>
    <n v="1156.8000000000002"/>
    <n v="34.927343689148707"/>
    <n v="83.4"/>
    <n v="41.879308979794608"/>
    <x v="2"/>
  </r>
  <r>
    <s v="HIP-101184"/>
    <s v="2025-06-16"/>
    <s v="Viña del Mar"/>
    <x v="2"/>
    <s v="S. Bravo"/>
    <x v="1"/>
    <s v="Departamento usado"/>
    <n v="3084"/>
    <n v="20"/>
    <n v="5.0999999999999996"/>
    <n v="80"/>
    <n v="616.79999999999984"/>
    <n v="16.419029494633399"/>
    <n v="33.9"/>
    <n v="48.43371532340236"/>
    <x v="1"/>
  </r>
  <r>
    <s v="HIP-101185"/>
    <s v="2025-06-22"/>
    <s v="Antofagasta"/>
    <x v="7"/>
    <s v="V. Morales"/>
    <x v="2"/>
    <s v="Departamento usado"/>
    <n v="3211"/>
    <n v="25"/>
    <n v="4.78"/>
    <n v="80"/>
    <n v="642.19999999999982"/>
    <n v="14.689534368211877"/>
    <n v="41.3"/>
    <n v="35.567879826178881"/>
    <x v="2"/>
  </r>
  <r>
    <s v="HIP-101186"/>
    <s v="2025-06-23"/>
    <s v="Puerto Montt"/>
    <x v="10"/>
    <s v="F. Soto"/>
    <x v="3"/>
    <s v="Departamento nuevo"/>
    <n v="9801"/>
    <n v="30"/>
    <n v="4.1100000000000003"/>
    <n v="90"/>
    <n v="980.0999999999998"/>
    <n v="42.6736307555419"/>
    <n v="128.30000000000001"/>
    <n v="33.260818983275051"/>
    <x v="2"/>
  </r>
  <r>
    <s v="HIP-101187"/>
    <s v="2025-08-02"/>
    <s v="Valparaíso"/>
    <x v="2"/>
    <s v="S. Bravo"/>
    <x v="3"/>
    <s v="Casa nueva"/>
    <n v="17607"/>
    <n v="25"/>
    <n v="4.5199999999999996"/>
    <n v="90"/>
    <n v="1760.6999999999996"/>
    <n v="88.258866657854483"/>
    <n v="235.3"/>
    <n v="37.509080602573093"/>
    <x v="2"/>
  </r>
  <r>
    <s v="HIP-101188"/>
    <s v="2025-05-15"/>
    <s v="Valdivia"/>
    <x v="5"/>
    <s v="A. Rojas"/>
    <x v="2"/>
    <s v="Departamento usado"/>
    <n v="10731"/>
    <n v="20"/>
    <n v="4.09"/>
    <n v="80"/>
    <n v="2146.1999999999994"/>
    <n v="52.430224812074542"/>
    <n v="127.5"/>
    <n v="41.121744950646701"/>
    <x v="2"/>
  </r>
  <r>
    <s v="HIP-101189"/>
    <s v="2025-02-15"/>
    <s v="Temuco"/>
    <x v="3"/>
    <s v="E. Castro"/>
    <x v="4"/>
    <s v="Casa nueva"/>
    <n v="14505"/>
    <n v="30"/>
    <n v="4.62"/>
    <n v="90"/>
    <n v="1450.4999999999998"/>
    <n v="67.079283884537347"/>
    <n v="170.1"/>
    <n v="39.435205105548114"/>
    <x v="3"/>
  </r>
  <r>
    <s v="HIP-101190"/>
    <s v="2025-03-15"/>
    <s v="La Serena"/>
    <x v="6"/>
    <s v="A. Rojas"/>
    <x v="2"/>
    <s v="Departamento nuevo"/>
    <n v="14975"/>
    <n v="20"/>
    <n v="4.24"/>
    <n v="70"/>
    <n v="4492.5000000000009"/>
    <n v="64.855354086243111"/>
    <n v="162.1"/>
    <n v="40.009471984110498"/>
    <x v="0"/>
  </r>
  <r>
    <s v="HIP-101191"/>
    <s v="2025-05-11"/>
    <s v="Copiapó"/>
    <x v="13"/>
    <s v="J. Cáceres"/>
    <x v="4"/>
    <s v="Departamento nuevo"/>
    <n v="12585"/>
    <n v="30"/>
    <n v="5.26"/>
    <n v="80"/>
    <n v="2516.9999999999995"/>
    <n v="55.65824411014632"/>
    <n v="174.4"/>
    <n v="31.914130797102246"/>
    <x v="1"/>
  </r>
  <r>
    <s v="HIP-101192"/>
    <s v="2025-04-02"/>
    <s v="Santiago Centro"/>
    <x v="0"/>
    <s v="T. Núñez"/>
    <x v="2"/>
    <s v="Departamento usado"/>
    <n v="12515"/>
    <n v="15"/>
    <n v="4.99"/>
    <n v="90"/>
    <n v="1251.4999999999998"/>
    <n v="89.012377271070491"/>
    <n v="170.7"/>
    <n v="52.145505138295547"/>
    <x v="2"/>
  </r>
  <r>
    <s v="HIP-101193"/>
    <s v="2025-08-24"/>
    <s v="Antofagasta"/>
    <x v="7"/>
    <s v="L. Muñoz"/>
    <x v="3"/>
    <s v="Casa usada"/>
    <n v="6080"/>
    <n v="30"/>
    <n v="4.5999999999999996"/>
    <n v="75"/>
    <n v="1520"/>
    <n v="23.376583190366411"/>
    <n v="96.1"/>
    <n v="24.325268668435392"/>
    <x v="2"/>
  </r>
  <r>
    <s v="HIP-101194"/>
    <s v="2025-07-12"/>
    <s v="Puerto Montt"/>
    <x v="10"/>
    <s v="P. Vega"/>
    <x v="0"/>
    <s v="Casa usada"/>
    <n v="11924"/>
    <n v="20"/>
    <n v="4.2"/>
    <n v="80"/>
    <n v="2384.7999999999993"/>
    <n v="58.815915592989711"/>
    <n v="175.9"/>
    <n v="33.43713223023861"/>
    <x v="2"/>
  </r>
  <r>
    <s v="HIP-101195"/>
    <s v="2025-02-16"/>
    <s v="Rancagua"/>
    <x v="12"/>
    <s v="P. Vega"/>
    <x v="4"/>
    <s v="Departamento usado"/>
    <n v="9002"/>
    <n v="20"/>
    <n v="5.08"/>
    <n v="75"/>
    <n v="2250.5"/>
    <n v="44.85582528570442"/>
    <n v="120.3"/>
    <n v="37.286637810228115"/>
    <x v="2"/>
  </r>
  <r>
    <s v="HIP-101196"/>
    <s v="2025-06-25"/>
    <s v="Copiapó"/>
    <x v="13"/>
    <s v="J. Cáceres"/>
    <x v="1"/>
    <s v="Casa nueva"/>
    <n v="7581"/>
    <n v="20"/>
    <n v="5.04"/>
    <n v="80"/>
    <n v="1516.1999999999996"/>
    <n v="40.159129935696704"/>
    <n v="111.4"/>
    <n v="36.049488272618227"/>
    <x v="2"/>
  </r>
  <r>
    <s v="HIP-101197"/>
    <s v="2025-09-25"/>
    <s v="Maipú"/>
    <x v="0"/>
    <s v="N. Fuentes"/>
    <x v="4"/>
    <s v="Casa nueva"/>
    <n v="12401"/>
    <n v="25"/>
    <n v="4.3"/>
    <n v="75"/>
    <n v="3100.25"/>
    <n v="50.646453708288988"/>
    <n v="141.1"/>
    <n v="35.894013967603819"/>
    <x v="2"/>
  </r>
  <r>
    <s v="HIP-101198"/>
    <s v="2025-05-10"/>
    <s v="Viña del Mar"/>
    <x v="2"/>
    <s v="N. Fuentes"/>
    <x v="2"/>
    <s v="Casa usada"/>
    <n v="3902"/>
    <n v="15"/>
    <n v="4.43"/>
    <n v="75"/>
    <n v="975.5"/>
    <n v="22.282974467900971"/>
    <n v="68.599999999999994"/>
    <n v="32.482470069826491"/>
    <x v="3"/>
  </r>
  <r>
    <s v="HIP-101199"/>
    <s v="2025-07-16"/>
    <s v="La Florida"/>
    <x v="0"/>
    <s v="P. Vega"/>
    <x v="2"/>
    <s v="Casa nueva"/>
    <n v="17920"/>
    <n v="30"/>
    <n v="5.0199999999999996"/>
    <n v="75"/>
    <n v="4480"/>
    <n v="72.313194578380177"/>
    <n v="196.8"/>
    <n v="36.744509440233827"/>
    <x v="3"/>
  </r>
  <r>
    <s v="HIP-101200"/>
    <s v="2025-08-21"/>
    <s v="Viña del Mar"/>
    <x v="2"/>
    <s v="G. Herrera"/>
    <x v="4"/>
    <s v="Departamento usado"/>
    <n v="8062"/>
    <n v="25"/>
    <n v="5.73"/>
    <n v="70"/>
    <n v="2418.6000000000004"/>
    <n v="35.434816542982958"/>
    <n v="127.2"/>
    <n v="27.85756017530106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FD16B-5D70-FC41-8C60-3BF8557FD87C}" name="PT_Region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18:C32" firstHeaderRow="0" firstDataRow="1" firstDataCol="1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15">
        <item x="7"/>
        <item x="3"/>
        <item x="4"/>
        <item x="13"/>
        <item x="1"/>
        <item x="6"/>
        <item x="10"/>
        <item x="5"/>
        <item x="9"/>
        <item x="11"/>
        <item x="12"/>
        <item x="0"/>
        <item x="8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dataField="1"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compact="0" outline="0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-2"/>
  </colFields>
  <colItems count="2">
    <i>
      <x/>
    </i>
    <i i="1">
      <x v="1"/>
    </i>
  </colItems>
  <dataFields count="2">
    <dataField name="Monto Total UF" fld="7" baseField="0" baseItem="0" numFmtId="3"/>
    <dataField name="Tasa Promedio %" fld="9" subtotal="average" baseField="0" baseItem="0" numFmtId="2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3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556B6-0665-BE42-9917-C685B66C973D}" name="PT_Segmento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3">
  <location ref="A5:D10" firstHeaderRow="0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4"/>
        <item x="1"/>
        <item x="2"/>
        <item x="0"/>
        <item t="default"/>
      </items>
    </pivotField>
    <pivotField compact="0" outline="0" showAll="0"/>
    <pivotField dataField="1" compact="0" numFmtId="164" outline="0" showAll="0"/>
    <pivotField compact="0" outline="0" showAll="0"/>
    <pivotField dataField="1"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N° Créditos" fld="0" subtotal="count" baseField="0" baseItem="0" numFmtId="3"/>
    <dataField name="Monto Total UF" fld="7" baseField="0" baseItem="0" numFmtId="3"/>
    <dataField name="Tasa Promedio %" fld="9" subtotal="average" baseField="0" baseItem="0" numFmtId="2"/>
  </dataFields>
  <formats count="8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5" type="button" dataOnly="0" labelOnly="1" outline="0" axis="axisRow" fieldPosition="0"/>
    </format>
    <format dxfId="11">
      <pivotArea dataOnly="0" labelOnly="1" outline="0" fieldPosition="0">
        <references count="1">
          <reference field="5" count="0"/>
        </references>
      </pivotArea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outline="0" fieldPosition="0">
        <references count="1">
          <reference field="4294967294" count="1" selected="0">
            <x v="0"/>
          </reference>
        </references>
      </pivotArea>
    </format>
    <format dxfId="8">
      <pivotArea outline="0" fieldPosition="0">
        <references count="1">
          <reference field="4294967294" count="1" selected="0">
            <x v="1"/>
          </reference>
        </references>
      </pivotArea>
    </format>
    <format dxfId="7">
      <pivotArea outline="0" fieldPosition="0">
        <references count="1">
          <reference field="4294967294" count="1" selected="0"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4BFF5-9CF9-5748-8EC0-47E9BB75B1D5}" name="PT_Estado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">
  <location ref="A40:C44" firstHeaderRow="0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65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axis="axisRow" compact="0" outline="0" showAll="0">
      <items count="5">
        <item x="0"/>
        <item x="3"/>
        <item x="1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N° Créditos" fld="0" subtotal="count" baseField="0" baseItem="0"/>
    <dataField name="Monto Total UF" fld="7" baseField="0" baseItem="0" numFmtId="164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5" type="button" dataOnly="0" labelOnly="1" outline="0" axis="axisRow" fieldPosition="0"/>
    </format>
    <format dxfId="17">
      <pivotArea dataOnly="0" labelOnly="1" outline="0" fieldPosition="0">
        <references count="1">
          <reference field="15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3"/>
  <sheetViews>
    <sheetView tabSelected="1" zoomScale="125" zoomScaleNormal="100" workbookViewId="0">
      <pane ySplit="1" topLeftCell="A2" activePane="bottomLeft" state="frozen"/>
      <selection pane="bottomLeft" activeCell="I1185" sqref="I1185"/>
    </sheetView>
  </sheetViews>
  <sheetFormatPr baseColWidth="10" defaultColWidth="8.6640625" defaultRowHeight="15" x14ac:dyDescent="0.2"/>
  <cols>
    <col min="1" max="2" width="13" customWidth="1"/>
    <col min="3" max="3" width="16" customWidth="1"/>
    <col min="4" max="4" width="17" customWidth="1"/>
    <col min="5" max="5" width="12" customWidth="1"/>
    <col min="6" max="6" width="15" customWidth="1"/>
    <col min="7" max="7" width="17" customWidth="1"/>
    <col min="8" max="10" width="11" customWidth="1"/>
    <col min="11" max="11" width="8" customWidth="1"/>
    <col min="12" max="12" width="10" customWidth="1"/>
    <col min="13" max="13" width="12" customWidth="1"/>
    <col min="14" max="14" width="14" customWidth="1"/>
    <col min="15" max="15" width="8" customWidth="1"/>
    <col min="16" max="16" width="15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74</v>
      </c>
      <c r="F2" s="2" t="s">
        <v>21</v>
      </c>
      <c r="G2" s="2" t="s">
        <v>22</v>
      </c>
      <c r="H2" s="3">
        <v>16088</v>
      </c>
      <c r="I2" s="4">
        <v>25</v>
      </c>
      <c r="J2" s="5">
        <v>5.08</v>
      </c>
      <c r="K2" s="4">
        <v>80</v>
      </c>
      <c r="L2" s="3">
        <f t="shared" ref="L2:L65" si="0">H2*(1-K2/100)</f>
        <v>3217.5999999999995</v>
      </c>
      <c r="M2" s="3">
        <f t="shared" ref="M2:M65" si="1">PMT(J2/100/12, I2*12, -(H2*K2/100))</f>
        <v>75.840184222334713</v>
      </c>
      <c r="N2" s="3">
        <v>186.3</v>
      </c>
      <c r="O2" s="5">
        <f t="shared" ref="O2:O65" si="2">IFERROR(M2/N2*100,0)</f>
        <v>40.708633506352498</v>
      </c>
      <c r="P2" s="2" t="s">
        <v>23</v>
      </c>
    </row>
    <row r="3" spans="1:16" x14ac:dyDescent="0.2">
      <c r="A3" s="2" t="s">
        <v>24</v>
      </c>
      <c r="B3" s="2" t="s">
        <v>25</v>
      </c>
      <c r="C3" s="2" t="s">
        <v>26</v>
      </c>
      <c r="D3" s="2" t="s">
        <v>27</v>
      </c>
      <c r="E3" s="2" t="s">
        <v>20</v>
      </c>
      <c r="F3" s="2" t="s">
        <v>28</v>
      </c>
      <c r="G3" s="2" t="s">
        <v>22</v>
      </c>
      <c r="H3" s="3">
        <v>6239</v>
      </c>
      <c r="I3" s="4">
        <v>15</v>
      </c>
      <c r="J3" s="5">
        <v>4.75</v>
      </c>
      <c r="K3" s="4">
        <v>90</v>
      </c>
      <c r="L3" s="3">
        <f t="shared" si="0"/>
        <v>623.89999999999986</v>
      </c>
      <c r="M3" s="3">
        <f t="shared" si="1"/>
        <v>43.67604001135166</v>
      </c>
      <c r="N3" s="3">
        <v>68.8</v>
      </c>
      <c r="O3" s="5">
        <f t="shared" si="2"/>
        <v>63.482616295569272</v>
      </c>
      <c r="P3" s="2" t="s">
        <v>29</v>
      </c>
    </row>
    <row r="4" spans="1:16" x14ac:dyDescent="0.2">
      <c r="A4" s="2" t="s">
        <v>30</v>
      </c>
      <c r="B4" s="2" t="s">
        <v>31</v>
      </c>
      <c r="C4" s="2" t="s">
        <v>32</v>
      </c>
      <c r="D4" s="2" t="s">
        <v>32</v>
      </c>
      <c r="E4" s="2" t="s">
        <v>33</v>
      </c>
      <c r="F4" s="2" t="s">
        <v>34</v>
      </c>
      <c r="G4" s="2" t="s">
        <v>35</v>
      </c>
      <c r="H4" s="3">
        <v>14785</v>
      </c>
      <c r="I4" s="4">
        <v>30</v>
      </c>
      <c r="J4" s="5">
        <v>4.88</v>
      </c>
      <c r="K4" s="4">
        <v>70</v>
      </c>
      <c r="L4" s="3">
        <f t="shared" si="0"/>
        <v>4435.5000000000009</v>
      </c>
      <c r="M4" s="3">
        <f t="shared" si="1"/>
        <v>54.801819115543978</v>
      </c>
      <c r="N4" s="3">
        <v>176.2</v>
      </c>
      <c r="O4" s="5">
        <f t="shared" si="2"/>
        <v>31.102053981580013</v>
      </c>
      <c r="P4" s="2" t="s">
        <v>36</v>
      </c>
    </row>
    <row r="5" spans="1:16" x14ac:dyDescent="0.2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21</v>
      </c>
      <c r="G5" s="2" t="s">
        <v>35</v>
      </c>
      <c r="H5" s="3">
        <v>1908</v>
      </c>
      <c r="I5" s="4">
        <v>30</v>
      </c>
      <c r="J5" s="5">
        <v>4.5999999999999996</v>
      </c>
      <c r="K5" s="4">
        <v>80</v>
      </c>
      <c r="L5" s="3">
        <f t="shared" si="0"/>
        <v>381.59999999999991</v>
      </c>
      <c r="M5" s="3">
        <f t="shared" si="1"/>
        <v>7.8250036363542304</v>
      </c>
      <c r="N5" s="3">
        <v>26.5</v>
      </c>
      <c r="O5" s="5">
        <f t="shared" si="2"/>
        <v>29.528315608883887</v>
      </c>
      <c r="P5" s="2" t="s">
        <v>23</v>
      </c>
    </row>
    <row r="6" spans="1:16" x14ac:dyDescent="0.2">
      <c r="A6" s="2" t="s">
        <v>42</v>
      </c>
      <c r="B6" s="2" t="s">
        <v>43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44</v>
      </c>
      <c r="H6" s="3">
        <v>8069</v>
      </c>
      <c r="I6" s="4">
        <v>25</v>
      </c>
      <c r="J6" s="5">
        <v>4.3899999999999997</v>
      </c>
      <c r="K6" s="4">
        <v>80</v>
      </c>
      <c r="L6" s="3">
        <f t="shared" si="0"/>
        <v>1613.7999999999997</v>
      </c>
      <c r="M6" s="3">
        <f t="shared" si="1"/>
        <v>35.478252042458415</v>
      </c>
      <c r="N6" s="3">
        <v>104</v>
      </c>
      <c r="O6" s="5">
        <f t="shared" si="2"/>
        <v>34.113703886979245</v>
      </c>
      <c r="P6" s="2" t="s">
        <v>36</v>
      </c>
    </row>
    <row r="7" spans="1:16" x14ac:dyDescent="0.2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22</v>
      </c>
      <c r="H7" s="3">
        <v>17385</v>
      </c>
      <c r="I7" s="4">
        <v>25</v>
      </c>
      <c r="J7" s="5">
        <v>5.58</v>
      </c>
      <c r="K7" s="4">
        <v>70</v>
      </c>
      <c r="L7" s="3">
        <f t="shared" si="0"/>
        <v>5215.5000000000009</v>
      </c>
      <c r="M7" s="3">
        <f t="shared" si="1"/>
        <v>75.313895545177488</v>
      </c>
      <c r="N7" s="3">
        <v>207.7</v>
      </c>
      <c r="O7" s="5">
        <f t="shared" si="2"/>
        <v>36.260903006825949</v>
      </c>
      <c r="P7" s="2" t="s">
        <v>23</v>
      </c>
    </row>
    <row r="8" spans="1:16" x14ac:dyDescent="0.2">
      <c r="A8" s="2" t="s">
        <v>51</v>
      </c>
      <c r="B8" s="2" t="s">
        <v>52</v>
      </c>
      <c r="C8" s="2" t="s">
        <v>53</v>
      </c>
      <c r="D8" s="2" t="s">
        <v>19</v>
      </c>
      <c r="E8" s="2" t="s">
        <v>41</v>
      </c>
      <c r="F8" s="2" t="s">
        <v>28</v>
      </c>
      <c r="G8" s="2" t="s">
        <v>44</v>
      </c>
      <c r="H8" s="3">
        <v>12626</v>
      </c>
      <c r="I8" s="4">
        <v>30</v>
      </c>
      <c r="J8" s="5">
        <v>5.67</v>
      </c>
      <c r="K8" s="4">
        <v>80</v>
      </c>
      <c r="L8" s="3">
        <f t="shared" si="0"/>
        <v>2525.1999999999994</v>
      </c>
      <c r="M8" s="3">
        <f t="shared" si="1"/>
        <v>58.433199457472341</v>
      </c>
      <c r="N8" s="3">
        <v>194.1</v>
      </c>
      <c r="O8" s="5">
        <f t="shared" si="2"/>
        <v>30.10468802548807</v>
      </c>
      <c r="P8" s="2" t="s">
        <v>36</v>
      </c>
    </row>
    <row r="9" spans="1:16" x14ac:dyDescent="0.2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44</v>
      </c>
      <c r="H9" s="3">
        <v>8646</v>
      </c>
      <c r="I9" s="4">
        <v>20</v>
      </c>
      <c r="J9" s="5">
        <v>5.48</v>
      </c>
      <c r="K9" s="4">
        <v>70</v>
      </c>
      <c r="L9" s="3">
        <f t="shared" si="0"/>
        <v>2593.8000000000002</v>
      </c>
      <c r="M9" s="3">
        <f t="shared" si="1"/>
        <v>41.563979883927011</v>
      </c>
      <c r="N9" s="3">
        <v>153.5</v>
      </c>
      <c r="O9" s="5">
        <f t="shared" si="2"/>
        <v>27.077511325033882</v>
      </c>
      <c r="P9" s="2" t="s">
        <v>23</v>
      </c>
    </row>
    <row r="10" spans="1:16" x14ac:dyDescent="0.2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59</v>
      </c>
      <c r="G10" s="2" t="s">
        <v>44</v>
      </c>
      <c r="H10" s="3">
        <v>9936</v>
      </c>
      <c r="I10" s="4">
        <v>30</v>
      </c>
      <c r="J10" s="5">
        <v>4.84</v>
      </c>
      <c r="K10" s="4">
        <v>80</v>
      </c>
      <c r="L10" s="3">
        <f t="shared" si="0"/>
        <v>1987.1999999999996</v>
      </c>
      <c r="M10" s="3">
        <f t="shared" si="1"/>
        <v>41.897000696474429</v>
      </c>
      <c r="N10" s="3">
        <v>128.5</v>
      </c>
      <c r="O10" s="5">
        <f t="shared" si="2"/>
        <v>32.604669802703832</v>
      </c>
      <c r="P10" s="2" t="s">
        <v>36</v>
      </c>
    </row>
    <row r="11" spans="1:16" x14ac:dyDescent="0.2">
      <c r="A11" s="2" t="s">
        <v>65</v>
      </c>
      <c r="B11" s="2" t="s">
        <v>66</v>
      </c>
      <c r="C11" s="2" t="s">
        <v>67</v>
      </c>
      <c r="D11" s="2" t="s">
        <v>67</v>
      </c>
      <c r="E11" s="2" t="s">
        <v>68</v>
      </c>
      <c r="F11" s="2" t="s">
        <v>28</v>
      </c>
      <c r="G11" s="2" t="s">
        <v>44</v>
      </c>
      <c r="H11" s="3">
        <v>12874</v>
      </c>
      <c r="I11" s="4">
        <v>30</v>
      </c>
      <c r="J11" s="5">
        <v>5.73</v>
      </c>
      <c r="K11" s="4">
        <v>80</v>
      </c>
      <c r="L11" s="3">
        <f t="shared" si="0"/>
        <v>2574.7999999999993</v>
      </c>
      <c r="M11" s="3">
        <f t="shared" si="1"/>
        <v>59.972545675885584</v>
      </c>
      <c r="N11" s="3">
        <v>176.1</v>
      </c>
      <c r="O11" s="5">
        <f t="shared" si="2"/>
        <v>34.055960065806694</v>
      </c>
      <c r="P11" s="2" t="s">
        <v>69</v>
      </c>
    </row>
    <row r="12" spans="1:16" x14ac:dyDescent="0.2">
      <c r="A12" s="2" t="s">
        <v>70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34</v>
      </c>
      <c r="G12" s="2" t="s">
        <v>44</v>
      </c>
      <c r="H12" s="3">
        <v>7607</v>
      </c>
      <c r="I12" s="4">
        <v>20</v>
      </c>
      <c r="J12" s="5">
        <v>5.32</v>
      </c>
      <c r="K12" s="4">
        <v>80</v>
      </c>
      <c r="L12" s="3">
        <f t="shared" si="0"/>
        <v>1521.3999999999996</v>
      </c>
      <c r="M12" s="3">
        <f t="shared" si="1"/>
        <v>41.245806436413275</v>
      </c>
      <c r="N12" s="3">
        <v>125</v>
      </c>
      <c r="O12" s="5">
        <f t="shared" si="2"/>
        <v>32.996645149130622</v>
      </c>
      <c r="P12" s="2" t="s">
        <v>36</v>
      </c>
    </row>
    <row r="13" spans="1:16" x14ac:dyDescent="0.2">
      <c r="A13" s="2" t="s">
        <v>75</v>
      </c>
      <c r="B13" s="2" t="s">
        <v>76</v>
      </c>
      <c r="C13" s="2" t="s">
        <v>77</v>
      </c>
      <c r="D13" s="2" t="s">
        <v>19</v>
      </c>
      <c r="E13" s="2" t="s">
        <v>78</v>
      </c>
      <c r="F13" s="2" t="s">
        <v>21</v>
      </c>
      <c r="G13" s="2" t="s">
        <v>22</v>
      </c>
      <c r="H13" s="3">
        <v>11567</v>
      </c>
      <c r="I13" s="4">
        <v>20</v>
      </c>
      <c r="J13" s="5">
        <v>4.37</v>
      </c>
      <c r="K13" s="4">
        <v>80</v>
      </c>
      <c r="L13" s="3">
        <f t="shared" si="0"/>
        <v>2313.3999999999996</v>
      </c>
      <c r="M13" s="3">
        <f t="shared" si="1"/>
        <v>57.895485871967956</v>
      </c>
      <c r="N13" s="3">
        <v>203.7</v>
      </c>
      <c r="O13" s="5">
        <f t="shared" si="2"/>
        <v>28.421937099640626</v>
      </c>
      <c r="P13" s="2" t="s">
        <v>29</v>
      </c>
    </row>
    <row r="14" spans="1:16" x14ac:dyDescent="0.2">
      <c r="A14" s="2" t="s">
        <v>79</v>
      </c>
      <c r="B14" s="2" t="s">
        <v>80</v>
      </c>
      <c r="C14" s="2" t="s">
        <v>53</v>
      </c>
      <c r="D14" s="2" t="s">
        <v>19</v>
      </c>
      <c r="E14" s="2" t="s">
        <v>81</v>
      </c>
      <c r="F14" s="2" t="s">
        <v>21</v>
      </c>
      <c r="G14" s="2" t="s">
        <v>44</v>
      </c>
      <c r="H14" s="3">
        <v>12881</v>
      </c>
      <c r="I14" s="4">
        <v>20</v>
      </c>
      <c r="J14" s="5">
        <v>4.9400000000000004</v>
      </c>
      <c r="K14" s="4">
        <v>80</v>
      </c>
      <c r="L14" s="3">
        <f t="shared" si="0"/>
        <v>2576.1999999999994</v>
      </c>
      <c r="M14" s="3">
        <f t="shared" si="1"/>
        <v>67.666027876793763</v>
      </c>
      <c r="N14" s="3">
        <v>164.1</v>
      </c>
      <c r="O14" s="5">
        <f t="shared" si="2"/>
        <v>41.234630028515397</v>
      </c>
      <c r="P14" s="2" t="s">
        <v>36</v>
      </c>
    </row>
    <row r="15" spans="1:16" x14ac:dyDescent="0.2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41</v>
      </c>
      <c r="F15" s="2" t="s">
        <v>50</v>
      </c>
      <c r="G15" s="2" t="s">
        <v>35</v>
      </c>
      <c r="H15" s="3">
        <v>9877</v>
      </c>
      <c r="I15" s="4">
        <v>25</v>
      </c>
      <c r="J15" s="5">
        <v>5.44</v>
      </c>
      <c r="K15" s="4">
        <v>80</v>
      </c>
      <c r="L15" s="3">
        <f t="shared" si="0"/>
        <v>1975.3999999999996</v>
      </c>
      <c r="M15" s="3">
        <f t="shared" si="1"/>
        <v>48.240018304181305</v>
      </c>
      <c r="N15" s="3">
        <v>113.2</v>
      </c>
      <c r="O15" s="5">
        <f t="shared" si="2"/>
        <v>42.614857159170768</v>
      </c>
      <c r="P15" s="2" t="s">
        <v>36</v>
      </c>
    </row>
    <row r="16" spans="1:16" x14ac:dyDescent="0.2">
      <c r="A16" s="2" t="s">
        <v>86</v>
      </c>
      <c r="B16" s="2" t="s">
        <v>87</v>
      </c>
      <c r="C16" s="2" t="s">
        <v>18</v>
      </c>
      <c r="D16" s="2" t="s">
        <v>19</v>
      </c>
      <c r="E16" s="2" t="s">
        <v>88</v>
      </c>
      <c r="F16" s="2" t="s">
        <v>28</v>
      </c>
      <c r="G16" s="2" t="s">
        <v>35</v>
      </c>
      <c r="H16" s="3">
        <v>12163</v>
      </c>
      <c r="I16" s="4">
        <v>30</v>
      </c>
      <c r="J16" s="5">
        <v>5.7</v>
      </c>
      <c r="K16" s="4">
        <v>70</v>
      </c>
      <c r="L16" s="3">
        <f t="shared" si="0"/>
        <v>3648.9000000000005</v>
      </c>
      <c r="M16" s="3">
        <f t="shared" si="1"/>
        <v>49.415872803392219</v>
      </c>
      <c r="N16" s="3">
        <v>161.30000000000001</v>
      </c>
      <c r="O16" s="5">
        <f t="shared" si="2"/>
        <v>30.636002977924498</v>
      </c>
      <c r="P16" s="2" t="s">
        <v>36</v>
      </c>
    </row>
    <row r="17" spans="1:16" x14ac:dyDescent="0.2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49</v>
      </c>
      <c r="F17" s="2" t="s">
        <v>59</v>
      </c>
      <c r="G17" s="2" t="s">
        <v>44</v>
      </c>
      <c r="H17" s="3">
        <v>10932</v>
      </c>
      <c r="I17" s="4">
        <v>30</v>
      </c>
      <c r="J17" s="5">
        <v>4.22</v>
      </c>
      <c r="K17" s="4">
        <v>80</v>
      </c>
      <c r="L17" s="3">
        <f t="shared" si="0"/>
        <v>2186.3999999999996</v>
      </c>
      <c r="M17" s="3">
        <f t="shared" si="1"/>
        <v>42.869636722853024</v>
      </c>
      <c r="N17" s="3">
        <v>144.30000000000001</v>
      </c>
      <c r="O17" s="5">
        <f t="shared" si="2"/>
        <v>29.708687957625102</v>
      </c>
      <c r="P17" s="2" t="s">
        <v>29</v>
      </c>
    </row>
    <row r="18" spans="1:16" x14ac:dyDescent="0.2">
      <c r="A18" s="2" t="s">
        <v>93</v>
      </c>
      <c r="B18" s="2" t="s">
        <v>94</v>
      </c>
      <c r="C18" s="2" t="s">
        <v>91</v>
      </c>
      <c r="D18" s="2" t="s">
        <v>92</v>
      </c>
      <c r="E18" s="2" t="s">
        <v>64</v>
      </c>
      <c r="F18" s="2" t="s">
        <v>28</v>
      </c>
      <c r="G18" s="2" t="s">
        <v>44</v>
      </c>
      <c r="H18" s="3">
        <v>2064</v>
      </c>
      <c r="I18" s="4">
        <v>30</v>
      </c>
      <c r="J18" s="5">
        <v>5.65</v>
      </c>
      <c r="K18" s="4">
        <v>70</v>
      </c>
      <c r="L18" s="3">
        <f t="shared" si="0"/>
        <v>619.20000000000005</v>
      </c>
      <c r="M18" s="3">
        <f t="shared" si="1"/>
        <v>8.3399026882977054</v>
      </c>
      <c r="N18" s="3">
        <v>25.5</v>
      </c>
      <c r="O18" s="5">
        <f t="shared" si="2"/>
        <v>32.705500738422373</v>
      </c>
      <c r="P18" s="2" t="s">
        <v>23</v>
      </c>
    </row>
    <row r="19" spans="1:16" x14ac:dyDescent="0.2">
      <c r="A19" s="2" t="s">
        <v>95</v>
      </c>
      <c r="B19" s="2" t="s">
        <v>96</v>
      </c>
      <c r="C19" s="2" t="s">
        <v>32</v>
      </c>
      <c r="D19" s="2" t="s">
        <v>32</v>
      </c>
      <c r="E19" s="2" t="s">
        <v>97</v>
      </c>
      <c r="F19" s="2" t="s">
        <v>28</v>
      </c>
      <c r="G19" s="2" t="s">
        <v>98</v>
      </c>
      <c r="H19" s="3">
        <v>12153</v>
      </c>
      <c r="I19" s="4">
        <v>20</v>
      </c>
      <c r="J19" s="5">
        <v>5.39</v>
      </c>
      <c r="K19" s="4">
        <v>80</v>
      </c>
      <c r="L19" s="3">
        <f t="shared" si="0"/>
        <v>2430.5999999999995</v>
      </c>
      <c r="M19" s="3">
        <f t="shared" si="1"/>
        <v>66.276567273369324</v>
      </c>
      <c r="N19" s="3">
        <v>133.9</v>
      </c>
      <c r="O19" s="5">
        <f t="shared" si="2"/>
        <v>49.497062937542438</v>
      </c>
      <c r="P19" s="2" t="s">
        <v>36</v>
      </c>
    </row>
    <row r="20" spans="1:16" x14ac:dyDescent="0.2">
      <c r="A20" s="2" t="s">
        <v>99</v>
      </c>
      <c r="B20" s="2" t="s">
        <v>31</v>
      </c>
      <c r="C20" s="2" t="s">
        <v>100</v>
      </c>
      <c r="D20" s="2" t="s">
        <v>32</v>
      </c>
      <c r="E20" s="2" t="s">
        <v>58</v>
      </c>
      <c r="F20" s="2" t="s">
        <v>59</v>
      </c>
      <c r="G20" s="2" t="s">
        <v>44</v>
      </c>
      <c r="H20" s="3">
        <v>15823</v>
      </c>
      <c r="I20" s="4">
        <v>25</v>
      </c>
      <c r="J20" s="5">
        <v>4.4800000000000004</v>
      </c>
      <c r="K20" s="4">
        <v>80</v>
      </c>
      <c r="L20" s="3">
        <f t="shared" si="0"/>
        <v>3164.5999999999995</v>
      </c>
      <c r="M20" s="3">
        <f t="shared" si="1"/>
        <v>70.215876687392878</v>
      </c>
      <c r="N20" s="3">
        <v>255.3</v>
      </c>
      <c r="O20" s="5">
        <f t="shared" si="2"/>
        <v>27.503281115312522</v>
      </c>
      <c r="P20" s="2" t="s">
        <v>23</v>
      </c>
    </row>
    <row r="21" spans="1:16" x14ac:dyDescent="0.2">
      <c r="A21" s="2" t="s">
        <v>101</v>
      </c>
      <c r="B21" s="2" t="s">
        <v>102</v>
      </c>
      <c r="C21" s="2" t="s">
        <v>84</v>
      </c>
      <c r="D21" s="2" t="s">
        <v>85</v>
      </c>
      <c r="E21" s="2" t="s">
        <v>78</v>
      </c>
      <c r="F21" s="2" t="s">
        <v>50</v>
      </c>
      <c r="G21" s="2" t="s">
        <v>35</v>
      </c>
      <c r="H21" s="3">
        <v>10069</v>
      </c>
      <c r="I21" s="4">
        <v>25</v>
      </c>
      <c r="J21" s="5">
        <v>4.13</v>
      </c>
      <c r="K21" s="4">
        <v>90</v>
      </c>
      <c r="L21" s="3">
        <f t="shared" si="0"/>
        <v>1006.8999999999997</v>
      </c>
      <c r="M21" s="3">
        <f t="shared" si="1"/>
        <v>48.48597205013597</v>
      </c>
      <c r="N21" s="3">
        <v>132.5</v>
      </c>
      <c r="O21" s="5">
        <f t="shared" si="2"/>
        <v>36.593186452932805</v>
      </c>
      <c r="P21" s="2" t="s">
        <v>36</v>
      </c>
    </row>
    <row r="22" spans="1:16" x14ac:dyDescent="0.2">
      <c r="A22" s="2" t="s">
        <v>103</v>
      </c>
      <c r="B22" s="2" t="s">
        <v>104</v>
      </c>
      <c r="C22" s="2" t="s">
        <v>32</v>
      </c>
      <c r="D22" s="2" t="s">
        <v>32</v>
      </c>
      <c r="E22" s="2" t="s">
        <v>68</v>
      </c>
      <c r="F22" s="2" t="s">
        <v>28</v>
      </c>
      <c r="G22" s="2" t="s">
        <v>44</v>
      </c>
      <c r="H22" s="3">
        <v>12154</v>
      </c>
      <c r="I22" s="4">
        <v>25</v>
      </c>
      <c r="J22" s="5">
        <v>4.9400000000000004</v>
      </c>
      <c r="K22" s="4">
        <v>90</v>
      </c>
      <c r="L22" s="3">
        <f t="shared" si="0"/>
        <v>1215.3999999999996</v>
      </c>
      <c r="M22" s="3">
        <f t="shared" si="1"/>
        <v>63.564163001407934</v>
      </c>
      <c r="N22" s="3">
        <v>136.6</v>
      </c>
      <c r="O22" s="5">
        <f t="shared" si="2"/>
        <v>46.533062226506544</v>
      </c>
      <c r="P22" s="2" t="s">
        <v>36</v>
      </c>
    </row>
    <row r="23" spans="1:16" x14ac:dyDescent="0.2">
      <c r="A23" s="2" t="s">
        <v>105</v>
      </c>
      <c r="B23" s="2" t="s">
        <v>106</v>
      </c>
      <c r="C23" s="2" t="s">
        <v>62</v>
      </c>
      <c r="D23" s="2" t="s">
        <v>63</v>
      </c>
      <c r="E23" s="2" t="s">
        <v>107</v>
      </c>
      <c r="F23" s="2" t="s">
        <v>21</v>
      </c>
      <c r="G23" s="2" t="s">
        <v>98</v>
      </c>
      <c r="H23" s="3">
        <v>3310</v>
      </c>
      <c r="I23" s="4">
        <v>30</v>
      </c>
      <c r="J23" s="5">
        <v>4.43</v>
      </c>
      <c r="K23" s="4">
        <v>90</v>
      </c>
      <c r="L23" s="3">
        <f t="shared" si="0"/>
        <v>330.99999999999994</v>
      </c>
      <c r="M23" s="3">
        <f t="shared" si="1"/>
        <v>14.970504978414446</v>
      </c>
      <c r="N23" s="3">
        <v>42.6</v>
      </c>
      <c r="O23" s="5">
        <f t="shared" si="2"/>
        <v>35.142030465761607</v>
      </c>
      <c r="P23" s="2" t="s">
        <v>36</v>
      </c>
    </row>
    <row r="24" spans="1:16" x14ac:dyDescent="0.2">
      <c r="A24" s="2" t="s">
        <v>108</v>
      </c>
      <c r="B24" s="2" t="s">
        <v>109</v>
      </c>
      <c r="C24" s="2" t="s">
        <v>47</v>
      </c>
      <c r="D24" s="2" t="s">
        <v>48</v>
      </c>
      <c r="E24" s="2" t="s">
        <v>64</v>
      </c>
      <c r="F24" s="2" t="s">
        <v>21</v>
      </c>
      <c r="G24" s="2" t="s">
        <v>98</v>
      </c>
      <c r="H24" s="3">
        <v>3174</v>
      </c>
      <c r="I24" s="4">
        <v>20</v>
      </c>
      <c r="J24" s="5">
        <v>4.08</v>
      </c>
      <c r="K24" s="4">
        <v>80</v>
      </c>
      <c r="L24" s="3">
        <f t="shared" si="0"/>
        <v>634.79999999999984</v>
      </c>
      <c r="M24" s="3">
        <f t="shared" si="1"/>
        <v>15.494301961566586</v>
      </c>
      <c r="N24" s="3">
        <v>51.3</v>
      </c>
      <c r="O24" s="5">
        <f t="shared" si="2"/>
        <v>30.203317663872493</v>
      </c>
      <c r="P24" s="2" t="s">
        <v>29</v>
      </c>
    </row>
    <row r="25" spans="1:16" x14ac:dyDescent="0.2">
      <c r="A25" s="2" t="s">
        <v>110</v>
      </c>
      <c r="B25" s="2" t="s">
        <v>111</v>
      </c>
      <c r="C25" s="2" t="s">
        <v>100</v>
      </c>
      <c r="D25" s="2" t="s">
        <v>32</v>
      </c>
      <c r="E25" s="2" t="s">
        <v>78</v>
      </c>
      <c r="F25" s="2" t="s">
        <v>28</v>
      </c>
      <c r="G25" s="2" t="s">
        <v>35</v>
      </c>
      <c r="H25" s="3">
        <v>6067</v>
      </c>
      <c r="I25" s="4">
        <v>30</v>
      </c>
      <c r="J25" s="5">
        <v>4.0199999999999996</v>
      </c>
      <c r="K25" s="4">
        <v>80</v>
      </c>
      <c r="L25" s="3">
        <f t="shared" si="0"/>
        <v>1213.3999999999996</v>
      </c>
      <c r="M25" s="3">
        <f t="shared" si="1"/>
        <v>23.22782692626355</v>
      </c>
      <c r="N25" s="3">
        <v>98.7</v>
      </c>
      <c r="O25" s="5">
        <f t="shared" si="2"/>
        <v>23.533765882739157</v>
      </c>
      <c r="P25" s="2" t="s">
        <v>36</v>
      </c>
    </row>
    <row r="26" spans="1:16" x14ac:dyDescent="0.2">
      <c r="A26" s="2" t="s">
        <v>112</v>
      </c>
      <c r="B26" s="2" t="s">
        <v>113</v>
      </c>
      <c r="C26" s="2" t="s">
        <v>77</v>
      </c>
      <c r="D26" s="2" t="s">
        <v>19</v>
      </c>
      <c r="E26" s="2" t="s">
        <v>114</v>
      </c>
      <c r="F26" s="2" t="s">
        <v>34</v>
      </c>
      <c r="G26" s="2" t="s">
        <v>44</v>
      </c>
      <c r="H26" s="3">
        <v>17430</v>
      </c>
      <c r="I26" s="4">
        <v>15</v>
      </c>
      <c r="J26" s="5">
        <v>4.08</v>
      </c>
      <c r="K26" s="4">
        <v>70</v>
      </c>
      <c r="L26" s="3">
        <f t="shared" si="0"/>
        <v>5229.0000000000009</v>
      </c>
      <c r="M26" s="3">
        <f t="shared" si="1"/>
        <v>90.739240766137883</v>
      </c>
      <c r="N26" s="3">
        <v>258.60000000000002</v>
      </c>
      <c r="O26" s="5">
        <f t="shared" si="2"/>
        <v>35.088646854655018</v>
      </c>
      <c r="P26" s="2" t="s">
        <v>29</v>
      </c>
    </row>
    <row r="27" spans="1:16" x14ac:dyDescent="0.2">
      <c r="A27" s="2" t="s">
        <v>115</v>
      </c>
      <c r="B27" s="2" t="s">
        <v>116</v>
      </c>
      <c r="C27" s="2" t="s">
        <v>67</v>
      </c>
      <c r="D27" s="2" t="s">
        <v>67</v>
      </c>
      <c r="E27" s="2" t="s">
        <v>114</v>
      </c>
      <c r="F27" s="2" t="s">
        <v>21</v>
      </c>
      <c r="G27" s="2" t="s">
        <v>22</v>
      </c>
      <c r="H27" s="3">
        <v>16758</v>
      </c>
      <c r="I27" s="4">
        <v>20</v>
      </c>
      <c r="J27" s="5">
        <v>5.05</v>
      </c>
      <c r="K27" s="4">
        <v>80</v>
      </c>
      <c r="L27" s="3">
        <f t="shared" si="0"/>
        <v>3351.5999999999995</v>
      </c>
      <c r="M27" s="3">
        <f t="shared" si="1"/>
        <v>88.847024098279178</v>
      </c>
      <c r="N27" s="3">
        <v>228</v>
      </c>
      <c r="O27" s="5">
        <f t="shared" si="2"/>
        <v>38.967993025561043</v>
      </c>
      <c r="P27" s="2" t="s">
        <v>29</v>
      </c>
    </row>
    <row r="28" spans="1:16" x14ac:dyDescent="0.2">
      <c r="A28" s="2" t="s">
        <v>117</v>
      </c>
      <c r="B28" s="2" t="s">
        <v>118</v>
      </c>
      <c r="C28" s="2" t="s">
        <v>119</v>
      </c>
      <c r="D28" s="2" t="s">
        <v>120</v>
      </c>
      <c r="E28" s="2" t="s">
        <v>74</v>
      </c>
      <c r="F28" s="2" t="s">
        <v>59</v>
      </c>
      <c r="G28" s="2" t="s">
        <v>35</v>
      </c>
      <c r="H28" s="3">
        <v>17127</v>
      </c>
      <c r="I28" s="4">
        <v>20</v>
      </c>
      <c r="J28" s="5">
        <v>4.01</v>
      </c>
      <c r="K28" s="4">
        <v>85</v>
      </c>
      <c r="L28" s="3">
        <f t="shared" si="0"/>
        <v>2569.0500000000002</v>
      </c>
      <c r="M28" s="3">
        <f t="shared" si="1"/>
        <v>88.295042715177047</v>
      </c>
      <c r="N28" s="3">
        <v>236.3</v>
      </c>
      <c r="O28" s="5">
        <f t="shared" si="2"/>
        <v>37.36565497891538</v>
      </c>
      <c r="P28" s="2" t="s">
        <v>36</v>
      </c>
    </row>
    <row r="29" spans="1:16" x14ac:dyDescent="0.2">
      <c r="A29" s="2" t="s">
        <v>121</v>
      </c>
      <c r="B29" s="2" t="s">
        <v>122</v>
      </c>
      <c r="C29" s="2" t="s">
        <v>67</v>
      </c>
      <c r="D29" s="2" t="s">
        <v>67</v>
      </c>
      <c r="E29" s="2" t="s">
        <v>88</v>
      </c>
      <c r="F29" s="2" t="s">
        <v>28</v>
      </c>
      <c r="G29" s="2" t="s">
        <v>35</v>
      </c>
      <c r="H29" s="3">
        <v>14170</v>
      </c>
      <c r="I29" s="4">
        <v>20</v>
      </c>
      <c r="J29" s="5">
        <v>5.01</v>
      </c>
      <c r="K29" s="4">
        <v>70</v>
      </c>
      <c r="L29" s="3">
        <f t="shared" si="0"/>
        <v>4251.0000000000009</v>
      </c>
      <c r="M29" s="3">
        <f t="shared" si="1"/>
        <v>65.515816840324561</v>
      </c>
      <c r="N29" s="3">
        <v>184.8</v>
      </c>
      <c r="O29" s="5">
        <f t="shared" si="2"/>
        <v>35.452281840002463</v>
      </c>
      <c r="P29" s="2" t="s">
        <v>36</v>
      </c>
    </row>
    <row r="30" spans="1:16" x14ac:dyDescent="0.2">
      <c r="A30" s="2" t="s">
        <v>123</v>
      </c>
      <c r="B30" s="2" t="s">
        <v>124</v>
      </c>
      <c r="C30" s="2" t="s">
        <v>56</v>
      </c>
      <c r="D30" s="2" t="s">
        <v>57</v>
      </c>
      <c r="E30" s="2" t="s">
        <v>81</v>
      </c>
      <c r="F30" s="2" t="s">
        <v>28</v>
      </c>
      <c r="G30" s="2" t="s">
        <v>98</v>
      </c>
      <c r="H30" s="3">
        <v>11713</v>
      </c>
      <c r="I30" s="4">
        <v>15</v>
      </c>
      <c r="J30" s="5">
        <v>3.97</v>
      </c>
      <c r="K30" s="4">
        <v>80</v>
      </c>
      <c r="L30" s="3">
        <f t="shared" si="0"/>
        <v>2342.5999999999995</v>
      </c>
      <c r="M30" s="3">
        <f t="shared" si="1"/>
        <v>69.170929951573754</v>
      </c>
      <c r="N30" s="3">
        <v>169.4</v>
      </c>
      <c r="O30" s="5">
        <f t="shared" si="2"/>
        <v>40.832898436584273</v>
      </c>
      <c r="P30" s="2" t="s">
        <v>36</v>
      </c>
    </row>
    <row r="31" spans="1:16" x14ac:dyDescent="0.2">
      <c r="A31" s="2" t="s">
        <v>125</v>
      </c>
      <c r="B31" s="2" t="s">
        <v>126</v>
      </c>
      <c r="C31" s="2" t="s">
        <v>84</v>
      </c>
      <c r="D31" s="2" t="s">
        <v>85</v>
      </c>
      <c r="E31" s="2" t="s">
        <v>97</v>
      </c>
      <c r="F31" s="2" t="s">
        <v>34</v>
      </c>
      <c r="G31" s="2" t="s">
        <v>44</v>
      </c>
      <c r="H31" s="3">
        <v>7838</v>
      </c>
      <c r="I31" s="4">
        <v>20</v>
      </c>
      <c r="J31" s="5">
        <v>5.38</v>
      </c>
      <c r="K31" s="4">
        <v>85</v>
      </c>
      <c r="L31" s="3">
        <f t="shared" si="0"/>
        <v>1175.7000000000003</v>
      </c>
      <c r="M31" s="3">
        <f t="shared" si="1"/>
        <v>45.378750439434206</v>
      </c>
      <c r="N31" s="3">
        <v>122.9</v>
      </c>
      <c r="O31" s="5">
        <f t="shared" si="2"/>
        <v>36.923311993030275</v>
      </c>
      <c r="P31" s="2" t="s">
        <v>36</v>
      </c>
    </row>
    <row r="32" spans="1:16" x14ac:dyDescent="0.2">
      <c r="A32" s="2" t="s">
        <v>127</v>
      </c>
      <c r="B32" s="2" t="s">
        <v>128</v>
      </c>
      <c r="C32" s="2" t="s">
        <v>56</v>
      </c>
      <c r="D32" s="2" t="s">
        <v>57</v>
      </c>
      <c r="E32" s="2" t="s">
        <v>20</v>
      </c>
      <c r="F32" s="2" t="s">
        <v>21</v>
      </c>
      <c r="G32" s="2" t="s">
        <v>44</v>
      </c>
      <c r="H32" s="3">
        <v>16171</v>
      </c>
      <c r="I32" s="4">
        <v>30</v>
      </c>
      <c r="J32" s="5">
        <v>4.18</v>
      </c>
      <c r="K32" s="4">
        <v>70</v>
      </c>
      <c r="L32" s="3">
        <f t="shared" si="0"/>
        <v>4851.3000000000011</v>
      </c>
      <c r="M32" s="3">
        <f t="shared" si="1"/>
        <v>55.223220692406457</v>
      </c>
      <c r="N32" s="3">
        <v>290.5</v>
      </c>
      <c r="O32" s="5">
        <f t="shared" si="2"/>
        <v>19.009714524064183</v>
      </c>
      <c r="P32" s="2" t="s">
        <v>69</v>
      </c>
    </row>
    <row r="33" spans="1:16" x14ac:dyDescent="0.2">
      <c r="A33" s="2" t="s">
        <v>129</v>
      </c>
      <c r="B33" s="2" t="s">
        <v>130</v>
      </c>
      <c r="C33" s="2" t="s">
        <v>131</v>
      </c>
      <c r="D33" s="2" t="s">
        <v>27</v>
      </c>
      <c r="E33" s="2" t="s">
        <v>78</v>
      </c>
      <c r="F33" s="2" t="s">
        <v>21</v>
      </c>
      <c r="G33" s="2" t="s">
        <v>22</v>
      </c>
      <c r="H33" s="3">
        <v>15353</v>
      </c>
      <c r="I33" s="4">
        <v>25</v>
      </c>
      <c r="J33" s="5">
        <v>3.97</v>
      </c>
      <c r="K33" s="4">
        <v>90</v>
      </c>
      <c r="L33" s="3">
        <f t="shared" si="0"/>
        <v>1535.2999999999997</v>
      </c>
      <c r="M33" s="3">
        <f t="shared" si="1"/>
        <v>72.706220709887049</v>
      </c>
      <c r="N33" s="3">
        <v>164.3</v>
      </c>
      <c r="O33" s="5">
        <f t="shared" si="2"/>
        <v>44.252112422329304</v>
      </c>
      <c r="P33" s="2" t="s">
        <v>29</v>
      </c>
    </row>
    <row r="34" spans="1:16" x14ac:dyDescent="0.2">
      <c r="A34" s="2" t="s">
        <v>132</v>
      </c>
      <c r="B34" s="2" t="s">
        <v>133</v>
      </c>
      <c r="C34" s="2" t="s">
        <v>119</v>
      </c>
      <c r="D34" s="2" t="s">
        <v>120</v>
      </c>
      <c r="E34" s="2" t="s">
        <v>97</v>
      </c>
      <c r="F34" s="2" t="s">
        <v>28</v>
      </c>
      <c r="G34" s="2" t="s">
        <v>22</v>
      </c>
      <c r="H34" s="3">
        <v>11860</v>
      </c>
      <c r="I34" s="4">
        <v>20</v>
      </c>
      <c r="J34" s="5">
        <v>4.79</v>
      </c>
      <c r="K34" s="4">
        <v>75</v>
      </c>
      <c r="L34" s="3">
        <f t="shared" si="0"/>
        <v>2965</v>
      </c>
      <c r="M34" s="3">
        <f t="shared" si="1"/>
        <v>57.676087009578424</v>
      </c>
      <c r="N34" s="3">
        <v>144.30000000000001</v>
      </c>
      <c r="O34" s="5">
        <f t="shared" si="2"/>
        <v>39.969568267206114</v>
      </c>
      <c r="P34" s="2" t="s">
        <v>69</v>
      </c>
    </row>
    <row r="35" spans="1:16" x14ac:dyDescent="0.2">
      <c r="A35" s="2" t="s">
        <v>134</v>
      </c>
      <c r="B35" s="2" t="s">
        <v>135</v>
      </c>
      <c r="C35" s="2" t="s">
        <v>62</v>
      </c>
      <c r="D35" s="2" t="s">
        <v>63</v>
      </c>
      <c r="E35" s="2" t="s">
        <v>20</v>
      </c>
      <c r="F35" s="2" t="s">
        <v>34</v>
      </c>
      <c r="G35" s="2" t="s">
        <v>35</v>
      </c>
      <c r="H35" s="3">
        <v>15710</v>
      </c>
      <c r="I35" s="4">
        <v>20</v>
      </c>
      <c r="J35" s="5">
        <v>4.58</v>
      </c>
      <c r="K35" s="4">
        <v>85</v>
      </c>
      <c r="L35" s="3">
        <f t="shared" si="0"/>
        <v>2356.5000000000005</v>
      </c>
      <c r="M35" s="3">
        <f t="shared" si="1"/>
        <v>85.058572784877384</v>
      </c>
      <c r="N35" s="3">
        <v>214.3</v>
      </c>
      <c r="O35" s="5">
        <f t="shared" si="2"/>
        <v>39.691354542639935</v>
      </c>
      <c r="P35" s="2" t="s">
        <v>36</v>
      </c>
    </row>
    <row r="36" spans="1:16" x14ac:dyDescent="0.2">
      <c r="A36" s="2" t="s">
        <v>136</v>
      </c>
      <c r="B36" s="2" t="s">
        <v>137</v>
      </c>
      <c r="C36" s="2" t="s">
        <v>32</v>
      </c>
      <c r="D36" s="2" t="s">
        <v>32</v>
      </c>
      <c r="E36" s="2" t="s">
        <v>49</v>
      </c>
      <c r="F36" s="2" t="s">
        <v>59</v>
      </c>
      <c r="G36" s="2" t="s">
        <v>98</v>
      </c>
      <c r="H36" s="3">
        <v>9500</v>
      </c>
      <c r="I36" s="4">
        <v>15</v>
      </c>
      <c r="J36" s="5">
        <v>5.71</v>
      </c>
      <c r="K36" s="4">
        <v>90</v>
      </c>
      <c r="L36" s="3">
        <f t="shared" si="0"/>
        <v>949.99999999999977</v>
      </c>
      <c r="M36" s="3">
        <f t="shared" si="1"/>
        <v>70.817062242224196</v>
      </c>
      <c r="N36" s="3">
        <v>101.9</v>
      </c>
      <c r="O36" s="5">
        <f t="shared" si="2"/>
        <v>69.4966263417313</v>
      </c>
      <c r="P36" s="2" t="s">
        <v>36</v>
      </c>
    </row>
    <row r="37" spans="1:16" x14ac:dyDescent="0.2">
      <c r="A37" s="2" t="s">
        <v>138</v>
      </c>
      <c r="B37" s="2" t="s">
        <v>139</v>
      </c>
      <c r="C37" s="2" t="s">
        <v>100</v>
      </c>
      <c r="D37" s="2" t="s">
        <v>32</v>
      </c>
      <c r="E37" s="2" t="s">
        <v>81</v>
      </c>
      <c r="F37" s="2" t="s">
        <v>34</v>
      </c>
      <c r="G37" s="2" t="s">
        <v>35</v>
      </c>
      <c r="H37" s="3">
        <v>3776</v>
      </c>
      <c r="I37" s="4">
        <v>30</v>
      </c>
      <c r="J37" s="5">
        <v>4.09</v>
      </c>
      <c r="K37" s="4">
        <v>70</v>
      </c>
      <c r="L37" s="3">
        <f t="shared" si="0"/>
        <v>1132.8000000000002</v>
      </c>
      <c r="M37" s="3">
        <f t="shared" si="1"/>
        <v>12.756570911231082</v>
      </c>
      <c r="N37" s="3">
        <v>49.5</v>
      </c>
      <c r="O37" s="5">
        <f t="shared" si="2"/>
        <v>25.770850325719358</v>
      </c>
      <c r="P37" s="2" t="s">
        <v>36</v>
      </c>
    </row>
    <row r="38" spans="1:16" x14ac:dyDescent="0.2">
      <c r="A38" s="2" t="s">
        <v>140</v>
      </c>
      <c r="B38" s="2" t="s">
        <v>141</v>
      </c>
      <c r="C38" s="2" t="s">
        <v>142</v>
      </c>
      <c r="D38" s="2" t="s">
        <v>143</v>
      </c>
      <c r="E38" s="2" t="s">
        <v>78</v>
      </c>
      <c r="F38" s="2" t="s">
        <v>21</v>
      </c>
      <c r="G38" s="2" t="s">
        <v>98</v>
      </c>
      <c r="H38" s="3">
        <v>17425</v>
      </c>
      <c r="I38" s="4">
        <v>15</v>
      </c>
      <c r="J38" s="5">
        <v>4.0599999999999996</v>
      </c>
      <c r="K38" s="4">
        <v>85</v>
      </c>
      <c r="L38" s="3">
        <f t="shared" si="0"/>
        <v>2613.7500000000005</v>
      </c>
      <c r="M38" s="3">
        <f t="shared" si="1"/>
        <v>110.00289668449004</v>
      </c>
      <c r="N38" s="3">
        <v>246.9</v>
      </c>
      <c r="O38" s="5">
        <f t="shared" si="2"/>
        <v>44.553623606516823</v>
      </c>
      <c r="P38" s="2" t="s">
        <v>36</v>
      </c>
    </row>
    <row r="39" spans="1:16" x14ac:dyDescent="0.2">
      <c r="A39" s="2" t="s">
        <v>144</v>
      </c>
      <c r="B39" s="2" t="s">
        <v>145</v>
      </c>
      <c r="C39" s="2" t="s">
        <v>146</v>
      </c>
      <c r="D39" s="2" t="s">
        <v>19</v>
      </c>
      <c r="E39" s="2" t="s">
        <v>41</v>
      </c>
      <c r="F39" s="2" t="s">
        <v>50</v>
      </c>
      <c r="G39" s="2" t="s">
        <v>98</v>
      </c>
      <c r="H39" s="3">
        <v>16332</v>
      </c>
      <c r="I39" s="4">
        <v>20</v>
      </c>
      <c r="J39" s="5">
        <v>4.93</v>
      </c>
      <c r="K39" s="4">
        <v>80</v>
      </c>
      <c r="L39" s="3">
        <f t="shared" si="0"/>
        <v>3266.3999999999992</v>
      </c>
      <c r="M39" s="3">
        <f t="shared" si="1"/>
        <v>85.722738377352456</v>
      </c>
      <c r="N39" s="3">
        <v>270.60000000000002</v>
      </c>
      <c r="O39" s="5">
        <f t="shared" si="2"/>
        <v>31.678765106190852</v>
      </c>
      <c r="P39" s="2" t="s">
        <v>36</v>
      </c>
    </row>
    <row r="40" spans="1:16" x14ac:dyDescent="0.2">
      <c r="A40" s="2" t="s">
        <v>147</v>
      </c>
      <c r="B40" s="2" t="s">
        <v>148</v>
      </c>
      <c r="C40" s="2" t="s">
        <v>77</v>
      </c>
      <c r="D40" s="2" t="s">
        <v>19</v>
      </c>
      <c r="E40" s="2" t="s">
        <v>74</v>
      </c>
      <c r="F40" s="2" t="s">
        <v>59</v>
      </c>
      <c r="G40" s="2" t="s">
        <v>44</v>
      </c>
      <c r="H40" s="3">
        <v>7368</v>
      </c>
      <c r="I40" s="4">
        <v>30</v>
      </c>
      <c r="J40" s="5">
        <v>5.61</v>
      </c>
      <c r="K40" s="4">
        <v>80</v>
      </c>
      <c r="L40" s="3">
        <f t="shared" si="0"/>
        <v>1473.5999999999997</v>
      </c>
      <c r="M40" s="3">
        <f t="shared" si="1"/>
        <v>33.875689399293918</v>
      </c>
      <c r="N40" s="3">
        <v>119.2</v>
      </c>
      <c r="O40" s="5">
        <f t="shared" si="2"/>
        <v>28.419202516186171</v>
      </c>
      <c r="P40" s="2" t="s">
        <v>36</v>
      </c>
    </row>
    <row r="41" spans="1:16" x14ac:dyDescent="0.2">
      <c r="A41" s="2" t="s">
        <v>149</v>
      </c>
      <c r="B41" s="2" t="s">
        <v>150</v>
      </c>
      <c r="C41" s="2" t="s">
        <v>67</v>
      </c>
      <c r="D41" s="2" t="s">
        <v>67</v>
      </c>
      <c r="E41" s="2" t="s">
        <v>74</v>
      </c>
      <c r="F41" s="2" t="s">
        <v>50</v>
      </c>
      <c r="G41" s="2" t="s">
        <v>22</v>
      </c>
      <c r="H41" s="3">
        <v>16139</v>
      </c>
      <c r="I41" s="4">
        <v>25</v>
      </c>
      <c r="J41" s="5">
        <v>5.17</v>
      </c>
      <c r="K41" s="4">
        <v>85</v>
      </c>
      <c r="L41" s="3">
        <f t="shared" si="0"/>
        <v>2420.8500000000004</v>
      </c>
      <c r="M41" s="3">
        <f t="shared" si="1"/>
        <v>81.559519540828916</v>
      </c>
      <c r="N41" s="3">
        <v>199.9</v>
      </c>
      <c r="O41" s="5">
        <f t="shared" si="2"/>
        <v>40.800159850339632</v>
      </c>
      <c r="P41" s="2" t="s">
        <v>29</v>
      </c>
    </row>
    <row r="42" spans="1:16" x14ac:dyDescent="0.2">
      <c r="A42" s="2" t="s">
        <v>151</v>
      </c>
      <c r="B42" s="2" t="s">
        <v>152</v>
      </c>
      <c r="C42" s="2" t="s">
        <v>153</v>
      </c>
      <c r="D42" s="2" t="s">
        <v>19</v>
      </c>
      <c r="E42" s="2" t="s">
        <v>33</v>
      </c>
      <c r="F42" s="2" t="s">
        <v>50</v>
      </c>
      <c r="G42" s="2" t="s">
        <v>98</v>
      </c>
      <c r="H42" s="3">
        <v>11392</v>
      </c>
      <c r="I42" s="4">
        <v>20</v>
      </c>
      <c r="J42" s="5">
        <v>4.1399999999999997</v>
      </c>
      <c r="K42" s="4">
        <v>80</v>
      </c>
      <c r="L42" s="3">
        <f t="shared" si="0"/>
        <v>2278.3999999999996</v>
      </c>
      <c r="M42" s="3">
        <f t="shared" si="1"/>
        <v>55.901251149501775</v>
      </c>
      <c r="N42" s="3">
        <v>153.19999999999999</v>
      </c>
      <c r="O42" s="5">
        <f t="shared" si="2"/>
        <v>36.489067329961998</v>
      </c>
      <c r="P42" s="2" t="s">
        <v>69</v>
      </c>
    </row>
    <row r="43" spans="1:16" x14ac:dyDescent="0.2">
      <c r="A43" s="2" t="s">
        <v>154</v>
      </c>
      <c r="B43" s="2" t="s">
        <v>155</v>
      </c>
      <c r="C43" s="2" t="s">
        <v>131</v>
      </c>
      <c r="D43" s="2" t="s">
        <v>27</v>
      </c>
      <c r="E43" s="2" t="s">
        <v>156</v>
      </c>
      <c r="F43" s="2" t="s">
        <v>28</v>
      </c>
      <c r="G43" s="2" t="s">
        <v>35</v>
      </c>
      <c r="H43" s="3">
        <v>9327</v>
      </c>
      <c r="I43" s="4">
        <v>25</v>
      </c>
      <c r="J43" s="5">
        <v>4.13</v>
      </c>
      <c r="K43" s="4">
        <v>80</v>
      </c>
      <c r="L43" s="3">
        <f t="shared" si="0"/>
        <v>1865.3999999999996</v>
      </c>
      <c r="M43" s="3">
        <f t="shared" si="1"/>
        <v>39.92263703217737</v>
      </c>
      <c r="N43" s="3">
        <v>143.80000000000001</v>
      </c>
      <c r="O43" s="5">
        <f t="shared" si="2"/>
        <v>27.762612678843791</v>
      </c>
      <c r="P43" s="2" t="s">
        <v>23</v>
      </c>
    </row>
    <row r="44" spans="1:16" x14ac:dyDescent="0.2">
      <c r="A44" s="2" t="s">
        <v>157</v>
      </c>
      <c r="B44" s="2" t="s">
        <v>158</v>
      </c>
      <c r="C44" s="2" t="s">
        <v>47</v>
      </c>
      <c r="D44" s="2" t="s">
        <v>48</v>
      </c>
      <c r="E44" s="2" t="s">
        <v>68</v>
      </c>
      <c r="F44" s="2" t="s">
        <v>28</v>
      </c>
      <c r="G44" s="2" t="s">
        <v>22</v>
      </c>
      <c r="H44" s="3">
        <v>14839</v>
      </c>
      <c r="I44" s="4">
        <v>30</v>
      </c>
      <c r="J44" s="5">
        <v>4.49</v>
      </c>
      <c r="K44" s="4">
        <v>90</v>
      </c>
      <c r="L44" s="3">
        <f t="shared" si="0"/>
        <v>1483.8999999999996</v>
      </c>
      <c r="M44" s="3">
        <f t="shared" si="1"/>
        <v>67.588999966955043</v>
      </c>
      <c r="N44" s="3">
        <v>182.1</v>
      </c>
      <c r="O44" s="5">
        <f t="shared" si="2"/>
        <v>37.116419531551372</v>
      </c>
      <c r="P44" s="2" t="s">
        <v>29</v>
      </c>
    </row>
    <row r="45" spans="1:16" x14ac:dyDescent="0.2">
      <c r="A45" s="2" t="s">
        <v>159</v>
      </c>
      <c r="B45" s="2" t="s">
        <v>160</v>
      </c>
      <c r="C45" s="2" t="s">
        <v>84</v>
      </c>
      <c r="D45" s="2" t="s">
        <v>85</v>
      </c>
      <c r="E45" s="2" t="s">
        <v>68</v>
      </c>
      <c r="F45" s="2" t="s">
        <v>34</v>
      </c>
      <c r="G45" s="2" t="s">
        <v>35</v>
      </c>
      <c r="H45" s="3">
        <v>16467</v>
      </c>
      <c r="I45" s="4">
        <v>30</v>
      </c>
      <c r="J45" s="5">
        <v>5.15</v>
      </c>
      <c r="K45" s="4">
        <v>80</v>
      </c>
      <c r="L45" s="3">
        <f t="shared" si="0"/>
        <v>3293.3999999999992</v>
      </c>
      <c r="M45" s="3">
        <f t="shared" si="1"/>
        <v>71.931310884492532</v>
      </c>
      <c r="N45" s="3">
        <v>231.5</v>
      </c>
      <c r="O45" s="5">
        <f t="shared" si="2"/>
        <v>31.071840554856383</v>
      </c>
      <c r="P45" s="2" t="s">
        <v>36</v>
      </c>
    </row>
    <row r="46" spans="1:16" x14ac:dyDescent="0.2">
      <c r="A46" s="2" t="s">
        <v>161</v>
      </c>
      <c r="B46" s="2" t="s">
        <v>162</v>
      </c>
      <c r="C46" s="2" t="s">
        <v>91</v>
      </c>
      <c r="D46" s="2" t="s">
        <v>92</v>
      </c>
      <c r="E46" s="2" t="s">
        <v>97</v>
      </c>
      <c r="F46" s="2" t="s">
        <v>34</v>
      </c>
      <c r="G46" s="2" t="s">
        <v>35</v>
      </c>
      <c r="H46" s="3">
        <v>8260</v>
      </c>
      <c r="I46" s="4">
        <v>30</v>
      </c>
      <c r="J46" s="5">
        <v>5.0199999999999996</v>
      </c>
      <c r="K46" s="4">
        <v>75</v>
      </c>
      <c r="L46" s="3">
        <f t="shared" si="0"/>
        <v>2065</v>
      </c>
      <c r="M46" s="3">
        <f t="shared" si="1"/>
        <v>33.331863125972113</v>
      </c>
      <c r="N46" s="3">
        <v>135</v>
      </c>
      <c r="O46" s="5">
        <f t="shared" si="2"/>
        <v>24.690268982201566</v>
      </c>
      <c r="P46" s="2" t="s">
        <v>69</v>
      </c>
    </row>
    <row r="47" spans="1:16" x14ac:dyDescent="0.2">
      <c r="A47" s="2" t="s">
        <v>163</v>
      </c>
      <c r="B47" s="2" t="s">
        <v>164</v>
      </c>
      <c r="C47" s="2" t="s">
        <v>131</v>
      </c>
      <c r="D47" s="2" t="s">
        <v>27</v>
      </c>
      <c r="E47" s="2" t="s">
        <v>78</v>
      </c>
      <c r="F47" s="2" t="s">
        <v>28</v>
      </c>
      <c r="G47" s="2" t="s">
        <v>35</v>
      </c>
      <c r="H47" s="3">
        <v>5897</v>
      </c>
      <c r="I47" s="4">
        <v>30</v>
      </c>
      <c r="J47" s="5">
        <v>4.74</v>
      </c>
      <c r="K47" s="4">
        <v>75</v>
      </c>
      <c r="L47" s="3">
        <f t="shared" si="0"/>
        <v>1474.25</v>
      </c>
      <c r="M47" s="3">
        <f t="shared" si="1"/>
        <v>23.044506711560668</v>
      </c>
      <c r="N47" s="3">
        <v>76.8</v>
      </c>
      <c r="O47" s="5">
        <f t="shared" si="2"/>
        <v>30.005868114011285</v>
      </c>
      <c r="P47" s="2" t="s">
        <v>36</v>
      </c>
    </row>
    <row r="48" spans="1:16" x14ac:dyDescent="0.2">
      <c r="A48" s="2" t="s">
        <v>165</v>
      </c>
      <c r="B48" s="2" t="s">
        <v>166</v>
      </c>
      <c r="C48" s="2" t="s">
        <v>67</v>
      </c>
      <c r="D48" s="2" t="s">
        <v>67</v>
      </c>
      <c r="E48" s="2" t="s">
        <v>88</v>
      </c>
      <c r="F48" s="2" t="s">
        <v>28</v>
      </c>
      <c r="G48" s="2" t="s">
        <v>35</v>
      </c>
      <c r="H48" s="3">
        <v>6342</v>
      </c>
      <c r="I48" s="4">
        <v>25</v>
      </c>
      <c r="J48" s="5">
        <v>5.0999999999999996</v>
      </c>
      <c r="K48" s="4">
        <v>80</v>
      </c>
      <c r="L48" s="3">
        <f t="shared" si="0"/>
        <v>1268.3999999999996</v>
      </c>
      <c r="M48" s="3">
        <f t="shared" si="1"/>
        <v>29.956110854663805</v>
      </c>
      <c r="N48" s="3">
        <v>113.5</v>
      </c>
      <c r="O48" s="5">
        <f t="shared" si="2"/>
        <v>26.393049211157539</v>
      </c>
      <c r="P48" s="2" t="s">
        <v>69</v>
      </c>
    </row>
    <row r="49" spans="1:16" x14ac:dyDescent="0.2">
      <c r="A49" s="2" t="s">
        <v>167</v>
      </c>
      <c r="B49" s="2" t="s">
        <v>168</v>
      </c>
      <c r="C49" s="2" t="s">
        <v>67</v>
      </c>
      <c r="D49" s="2" t="s">
        <v>67</v>
      </c>
      <c r="E49" s="2" t="s">
        <v>74</v>
      </c>
      <c r="F49" s="2" t="s">
        <v>59</v>
      </c>
      <c r="G49" s="2" t="s">
        <v>98</v>
      </c>
      <c r="H49" s="3">
        <v>8503</v>
      </c>
      <c r="I49" s="4">
        <v>30</v>
      </c>
      <c r="J49" s="5">
        <v>4.53</v>
      </c>
      <c r="K49" s="4">
        <v>80</v>
      </c>
      <c r="L49" s="3">
        <f t="shared" si="0"/>
        <v>1700.5999999999997</v>
      </c>
      <c r="M49" s="3">
        <f t="shared" si="1"/>
        <v>34.588122510561696</v>
      </c>
      <c r="N49" s="3">
        <v>101.3</v>
      </c>
      <c r="O49" s="5">
        <f t="shared" si="2"/>
        <v>34.144247295717371</v>
      </c>
      <c r="P49" s="2" t="s">
        <v>36</v>
      </c>
    </row>
    <row r="50" spans="1:16" x14ac:dyDescent="0.2">
      <c r="A50" s="2" t="s">
        <v>169</v>
      </c>
      <c r="B50" s="2" t="s">
        <v>170</v>
      </c>
      <c r="C50" s="2" t="s">
        <v>56</v>
      </c>
      <c r="D50" s="2" t="s">
        <v>57</v>
      </c>
      <c r="E50" s="2" t="s">
        <v>20</v>
      </c>
      <c r="F50" s="2" t="s">
        <v>50</v>
      </c>
      <c r="G50" s="2" t="s">
        <v>35</v>
      </c>
      <c r="H50" s="3">
        <v>11053</v>
      </c>
      <c r="I50" s="4">
        <v>25</v>
      </c>
      <c r="J50" s="5">
        <v>4.6900000000000004</v>
      </c>
      <c r="K50" s="4">
        <v>90</v>
      </c>
      <c r="L50" s="3">
        <f t="shared" si="0"/>
        <v>1105.2999999999997</v>
      </c>
      <c r="M50" s="3">
        <f t="shared" si="1"/>
        <v>56.370806525955011</v>
      </c>
      <c r="N50" s="3">
        <v>126.9</v>
      </c>
      <c r="O50" s="5">
        <f t="shared" si="2"/>
        <v>44.421439342754141</v>
      </c>
      <c r="P50" s="2" t="s">
        <v>29</v>
      </c>
    </row>
    <row r="51" spans="1:16" x14ac:dyDescent="0.2">
      <c r="A51" s="2" t="s">
        <v>171</v>
      </c>
      <c r="B51" s="2" t="s">
        <v>172</v>
      </c>
      <c r="C51" s="2" t="s">
        <v>77</v>
      </c>
      <c r="D51" s="2" t="s">
        <v>19</v>
      </c>
      <c r="E51" s="2" t="s">
        <v>58</v>
      </c>
      <c r="F51" s="2" t="s">
        <v>50</v>
      </c>
      <c r="G51" s="2" t="s">
        <v>22</v>
      </c>
      <c r="H51" s="3">
        <v>12401</v>
      </c>
      <c r="I51" s="4">
        <v>20</v>
      </c>
      <c r="J51" s="5">
        <v>4.5199999999999996</v>
      </c>
      <c r="K51" s="4">
        <v>90</v>
      </c>
      <c r="L51" s="3">
        <f t="shared" si="0"/>
        <v>1240.0999999999997</v>
      </c>
      <c r="M51" s="3">
        <f t="shared" si="1"/>
        <v>70.729912612210668</v>
      </c>
      <c r="N51" s="3">
        <v>195.7</v>
      </c>
      <c r="O51" s="5">
        <f t="shared" si="2"/>
        <v>36.142009510582866</v>
      </c>
      <c r="P51" s="2" t="s">
        <v>36</v>
      </c>
    </row>
    <row r="52" spans="1:16" x14ac:dyDescent="0.2">
      <c r="A52" s="2" t="s">
        <v>173</v>
      </c>
      <c r="B52" s="2" t="s">
        <v>174</v>
      </c>
      <c r="C52" s="2" t="s">
        <v>175</v>
      </c>
      <c r="D52" s="2" t="s">
        <v>176</v>
      </c>
      <c r="E52" s="2" t="s">
        <v>177</v>
      </c>
      <c r="F52" s="2" t="s">
        <v>28</v>
      </c>
      <c r="G52" s="2" t="s">
        <v>98</v>
      </c>
      <c r="H52" s="3">
        <v>10393</v>
      </c>
      <c r="I52" s="4">
        <v>15</v>
      </c>
      <c r="J52" s="5">
        <v>5.77</v>
      </c>
      <c r="K52" s="4">
        <v>75</v>
      </c>
      <c r="L52" s="3">
        <f t="shared" si="0"/>
        <v>2598.25</v>
      </c>
      <c r="M52" s="3">
        <f t="shared" si="1"/>
        <v>64.81189774256184</v>
      </c>
      <c r="N52" s="3">
        <v>152.4</v>
      </c>
      <c r="O52" s="5">
        <f t="shared" si="2"/>
        <v>42.527491957061578</v>
      </c>
      <c r="P52" s="2" t="s">
        <v>23</v>
      </c>
    </row>
    <row r="53" spans="1:16" x14ac:dyDescent="0.2">
      <c r="A53" s="2" t="s">
        <v>178</v>
      </c>
      <c r="B53" s="2" t="s">
        <v>179</v>
      </c>
      <c r="C53" s="2" t="s">
        <v>32</v>
      </c>
      <c r="D53" s="2" t="s">
        <v>32</v>
      </c>
      <c r="E53" s="2" t="s">
        <v>97</v>
      </c>
      <c r="F53" s="2" t="s">
        <v>50</v>
      </c>
      <c r="G53" s="2" t="s">
        <v>35</v>
      </c>
      <c r="H53" s="3">
        <v>2891</v>
      </c>
      <c r="I53" s="4">
        <v>25</v>
      </c>
      <c r="J53" s="5">
        <v>5.25</v>
      </c>
      <c r="K53" s="4">
        <v>85</v>
      </c>
      <c r="L53" s="3">
        <f t="shared" si="0"/>
        <v>433.65000000000009</v>
      </c>
      <c r="M53" s="3">
        <f t="shared" si="1"/>
        <v>14.725613728761347</v>
      </c>
      <c r="N53" s="3">
        <v>36.799999999999997</v>
      </c>
      <c r="O53" s="5">
        <f t="shared" si="2"/>
        <v>40.015254697721055</v>
      </c>
      <c r="P53" s="2" t="s">
        <v>36</v>
      </c>
    </row>
    <row r="54" spans="1:16" x14ac:dyDescent="0.2">
      <c r="A54" s="2" t="s">
        <v>180</v>
      </c>
      <c r="B54" s="2" t="s">
        <v>181</v>
      </c>
      <c r="C54" s="2" t="s">
        <v>77</v>
      </c>
      <c r="D54" s="2" t="s">
        <v>19</v>
      </c>
      <c r="E54" s="2" t="s">
        <v>88</v>
      </c>
      <c r="F54" s="2" t="s">
        <v>28</v>
      </c>
      <c r="G54" s="2" t="s">
        <v>98</v>
      </c>
      <c r="H54" s="3">
        <v>10579</v>
      </c>
      <c r="I54" s="4">
        <v>25</v>
      </c>
      <c r="J54" s="5">
        <v>5.78</v>
      </c>
      <c r="K54" s="4">
        <v>80</v>
      </c>
      <c r="L54" s="3">
        <f t="shared" si="0"/>
        <v>2115.7999999999997</v>
      </c>
      <c r="M54" s="3">
        <f t="shared" si="1"/>
        <v>53.396069303389147</v>
      </c>
      <c r="N54" s="3">
        <v>130.1</v>
      </c>
      <c r="O54" s="5">
        <f t="shared" si="2"/>
        <v>41.042328442266836</v>
      </c>
      <c r="P54" s="2" t="s">
        <v>29</v>
      </c>
    </row>
    <row r="55" spans="1:16" x14ac:dyDescent="0.2">
      <c r="A55" s="2" t="s">
        <v>182</v>
      </c>
      <c r="B55" s="2" t="s">
        <v>183</v>
      </c>
      <c r="C55" s="2" t="s">
        <v>62</v>
      </c>
      <c r="D55" s="2" t="s">
        <v>63</v>
      </c>
      <c r="E55" s="2" t="s">
        <v>97</v>
      </c>
      <c r="F55" s="2" t="s">
        <v>59</v>
      </c>
      <c r="G55" s="2" t="s">
        <v>35</v>
      </c>
      <c r="H55" s="3">
        <v>9557</v>
      </c>
      <c r="I55" s="4">
        <v>20</v>
      </c>
      <c r="J55" s="5">
        <v>5.49</v>
      </c>
      <c r="K55" s="4">
        <v>70</v>
      </c>
      <c r="L55" s="3">
        <f t="shared" si="0"/>
        <v>2867.1000000000004</v>
      </c>
      <c r="M55" s="3">
        <f t="shared" si="1"/>
        <v>45.981196776955564</v>
      </c>
      <c r="N55" s="3">
        <v>118.4</v>
      </c>
      <c r="O55" s="5">
        <f t="shared" si="2"/>
        <v>38.835470250807063</v>
      </c>
      <c r="P55" s="2" t="s">
        <v>36</v>
      </c>
    </row>
    <row r="56" spans="1:16" x14ac:dyDescent="0.2">
      <c r="A56" s="2" t="s">
        <v>184</v>
      </c>
      <c r="B56" s="2" t="s">
        <v>185</v>
      </c>
      <c r="C56" s="2" t="s">
        <v>72</v>
      </c>
      <c r="D56" s="2" t="s">
        <v>73</v>
      </c>
      <c r="E56" s="2" t="s">
        <v>64</v>
      </c>
      <c r="F56" s="2" t="s">
        <v>59</v>
      </c>
      <c r="G56" s="2" t="s">
        <v>98</v>
      </c>
      <c r="H56" s="3">
        <v>7564</v>
      </c>
      <c r="I56" s="4">
        <v>25</v>
      </c>
      <c r="J56" s="5">
        <v>5.5</v>
      </c>
      <c r="K56" s="4">
        <v>80</v>
      </c>
      <c r="L56" s="3">
        <f t="shared" si="0"/>
        <v>1512.7999999999997</v>
      </c>
      <c r="M56" s="3">
        <f t="shared" si="1"/>
        <v>37.159662332936328</v>
      </c>
      <c r="N56" s="3">
        <v>112.6</v>
      </c>
      <c r="O56" s="5">
        <f t="shared" si="2"/>
        <v>33.001476316994967</v>
      </c>
      <c r="P56" s="2" t="s">
        <v>69</v>
      </c>
    </row>
    <row r="57" spans="1:16" x14ac:dyDescent="0.2">
      <c r="A57" s="2" t="s">
        <v>186</v>
      </c>
      <c r="B57" s="2" t="s">
        <v>187</v>
      </c>
      <c r="C57" s="2" t="s">
        <v>153</v>
      </c>
      <c r="D57" s="2" t="s">
        <v>19</v>
      </c>
      <c r="E57" s="2" t="s">
        <v>88</v>
      </c>
      <c r="F57" s="2" t="s">
        <v>21</v>
      </c>
      <c r="G57" s="2" t="s">
        <v>35</v>
      </c>
      <c r="H57" s="3">
        <v>17687</v>
      </c>
      <c r="I57" s="4">
        <v>25</v>
      </c>
      <c r="J57" s="5">
        <v>4.07</v>
      </c>
      <c r="K57" s="4">
        <v>80</v>
      </c>
      <c r="L57" s="3">
        <f t="shared" si="0"/>
        <v>3537.3999999999992</v>
      </c>
      <c r="M57" s="3">
        <f t="shared" si="1"/>
        <v>75.234778794908877</v>
      </c>
      <c r="N57" s="3">
        <v>188.2</v>
      </c>
      <c r="O57" s="5">
        <f t="shared" si="2"/>
        <v>39.975971729494624</v>
      </c>
      <c r="P57" s="2" t="s">
        <v>23</v>
      </c>
    </row>
    <row r="58" spans="1:16" x14ac:dyDescent="0.2">
      <c r="A58" s="2" t="s">
        <v>188</v>
      </c>
      <c r="B58" s="2" t="s">
        <v>189</v>
      </c>
      <c r="C58" s="2" t="s">
        <v>67</v>
      </c>
      <c r="D58" s="2" t="s">
        <v>67</v>
      </c>
      <c r="E58" s="2" t="s">
        <v>41</v>
      </c>
      <c r="F58" s="2" t="s">
        <v>34</v>
      </c>
      <c r="G58" s="2" t="s">
        <v>98</v>
      </c>
      <c r="H58" s="3">
        <v>2788</v>
      </c>
      <c r="I58" s="4">
        <v>25</v>
      </c>
      <c r="J58" s="5">
        <v>5.54</v>
      </c>
      <c r="K58" s="4">
        <v>75</v>
      </c>
      <c r="L58" s="3">
        <f t="shared" si="0"/>
        <v>697</v>
      </c>
      <c r="M58" s="3">
        <f t="shared" si="1"/>
        <v>12.890566656478603</v>
      </c>
      <c r="N58" s="3">
        <v>32.700000000000003</v>
      </c>
      <c r="O58" s="5">
        <f t="shared" si="2"/>
        <v>39.420693139078296</v>
      </c>
      <c r="P58" s="2" t="s">
        <v>36</v>
      </c>
    </row>
    <row r="59" spans="1:16" x14ac:dyDescent="0.2">
      <c r="A59" s="2" t="s">
        <v>190</v>
      </c>
      <c r="B59" s="2" t="s">
        <v>104</v>
      </c>
      <c r="C59" s="2" t="s">
        <v>175</v>
      </c>
      <c r="D59" s="2" t="s">
        <v>176</v>
      </c>
      <c r="E59" s="2" t="s">
        <v>78</v>
      </c>
      <c r="F59" s="2" t="s">
        <v>59</v>
      </c>
      <c r="G59" s="2" t="s">
        <v>98</v>
      </c>
      <c r="H59" s="3">
        <v>4960</v>
      </c>
      <c r="I59" s="4">
        <v>25</v>
      </c>
      <c r="J59" s="5">
        <v>5.53</v>
      </c>
      <c r="K59" s="4">
        <v>75</v>
      </c>
      <c r="L59" s="3">
        <f t="shared" si="0"/>
        <v>1240</v>
      </c>
      <c r="M59" s="3">
        <f t="shared" si="1"/>
        <v>22.910749489583939</v>
      </c>
      <c r="N59" s="3">
        <v>65.7</v>
      </c>
      <c r="O59" s="5">
        <f t="shared" si="2"/>
        <v>34.871764824328672</v>
      </c>
      <c r="P59" s="2" t="s">
        <v>23</v>
      </c>
    </row>
    <row r="60" spans="1:16" x14ac:dyDescent="0.2">
      <c r="A60" s="2" t="s">
        <v>191</v>
      </c>
      <c r="B60" s="2" t="s">
        <v>192</v>
      </c>
      <c r="C60" s="2" t="s">
        <v>53</v>
      </c>
      <c r="D60" s="2" t="s">
        <v>19</v>
      </c>
      <c r="E60" s="2" t="s">
        <v>97</v>
      </c>
      <c r="F60" s="2" t="s">
        <v>34</v>
      </c>
      <c r="G60" s="2" t="s">
        <v>35</v>
      </c>
      <c r="H60" s="3">
        <v>17954</v>
      </c>
      <c r="I60" s="4">
        <v>25</v>
      </c>
      <c r="J60" s="5">
        <v>4.91</v>
      </c>
      <c r="K60" s="4">
        <v>85</v>
      </c>
      <c r="L60" s="3">
        <f t="shared" si="0"/>
        <v>2693.1000000000004</v>
      </c>
      <c r="M60" s="3">
        <f t="shared" si="1"/>
        <v>88.415308673186473</v>
      </c>
      <c r="N60" s="3">
        <v>234.5</v>
      </c>
      <c r="O60" s="5">
        <f t="shared" si="2"/>
        <v>37.703756363832184</v>
      </c>
      <c r="P60" s="2" t="s">
        <v>36</v>
      </c>
    </row>
    <row r="61" spans="1:16" x14ac:dyDescent="0.2">
      <c r="A61" s="2" t="s">
        <v>193</v>
      </c>
      <c r="B61" s="2" t="s">
        <v>194</v>
      </c>
      <c r="C61" s="2" t="s">
        <v>53</v>
      </c>
      <c r="D61" s="2" t="s">
        <v>19</v>
      </c>
      <c r="E61" s="2" t="s">
        <v>68</v>
      </c>
      <c r="F61" s="2" t="s">
        <v>21</v>
      </c>
      <c r="G61" s="2" t="s">
        <v>22</v>
      </c>
      <c r="H61" s="3">
        <v>14731</v>
      </c>
      <c r="I61" s="4">
        <v>30</v>
      </c>
      <c r="J61" s="5">
        <v>3.97</v>
      </c>
      <c r="K61" s="4">
        <v>90</v>
      </c>
      <c r="L61" s="3">
        <f t="shared" si="0"/>
        <v>1473.0999999999997</v>
      </c>
      <c r="M61" s="3">
        <f t="shared" si="1"/>
        <v>63.066156905887063</v>
      </c>
      <c r="N61" s="3">
        <v>220</v>
      </c>
      <c r="O61" s="5">
        <f t="shared" si="2"/>
        <v>28.666434957221394</v>
      </c>
      <c r="P61" s="2" t="s">
        <v>36</v>
      </c>
    </row>
    <row r="62" spans="1:16" x14ac:dyDescent="0.2">
      <c r="A62" s="2" t="s">
        <v>195</v>
      </c>
      <c r="B62" s="2" t="s">
        <v>196</v>
      </c>
      <c r="C62" s="2" t="s">
        <v>131</v>
      </c>
      <c r="D62" s="2" t="s">
        <v>27</v>
      </c>
      <c r="E62" s="2" t="s">
        <v>97</v>
      </c>
      <c r="F62" s="2" t="s">
        <v>34</v>
      </c>
      <c r="G62" s="2" t="s">
        <v>98</v>
      </c>
      <c r="H62" s="3">
        <v>9045</v>
      </c>
      <c r="I62" s="4">
        <v>20</v>
      </c>
      <c r="J62" s="5">
        <v>5.22</v>
      </c>
      <c r="K62" s="4">
        <v>90</v>
      </c>
      <c r="L62" s="3">
        <f t="shared" si="0"/>
        <v>904.49999999999977</v>
      </c>
      <c r="M62" s="3">
        <f t="shared" si="1"/>
        <v>54.717946269660828</v>
      </c>
      <c r="N62" s="3">
        <v>144.9</v>
      </c>
      <c r="O62" s="5">
        <f t="shared" si="2"/>
        <v>37.762557812050254</v>
      </c>
      <c r="P62" s="2" t="s">
        <v>69</v>
      </c>
    </row>
    <row r="63" spans="1:16" x14ac:dyDescent="0.2">
      <c r="A63" s="2" t="s">
        <v>197</v>
      </c>
      <c r="B63" s="2" t="s">
        <v>198</v>
      </c>
      <c r="C63" s="2" t="s">
        <v>175</v>
      </c>
      <c r="D63" s="2" t="s">
        <v>176</v>
      </c>
      <c r="E63" s="2" t="s">
        <v>49</v>
      </c>
      <c r="F63" s="2" t="s">
        <v>28</v>
      </c>
      <c r="G63" s="2" t="s">
        <v>35</v>
      </c>
      <c r="H63" s="3">
        <v>5145</v>
      </c>
      <c r="I63" s="4">
        <v>20</v>
      </c>
      <c r="J63" s="5">
        <v>5.59</v>
      </c>
      <c r="K63" s="4">
        <v>70</v>
      </c>
      <c r="L63" s="3">
        <f t="shared" si="0"/>
        <v>1543.5000000000002</v>
      </c>
      <c r="M63" s="3">
        <f t="shared" si="1"/>
        <v>24.957688948634907</v>
      </c>
      <c r="N63" s="3">
        <v>69.900000000000006</v>
      </c>
      <c r="O63" s="5">
        <f t="shared" si="2"/>
        <v>35.704848281308877</v>
      </c>
      <c r="P63" s="2" t="s">
        <v>36</v>
      </c>
    </row>
    <row r="64" spans="1:16" x14ac:dyDescent="0.2">
      <c r="A64" s="2" t="s">
        <v>199</v>
      </c>
      <c r="B64" s="2" t="s">
        <v>200</v>
      </c>
      <c r="C64" s="2" t="s">
        <v>67</v>
      </c>
      <c r="D64" s="2" t="s">
        <v>67</v>
      </c>
      <c r="E64" s="2" t="s">
        <v>78</v>
      </c>
      <c r="F64" s="2" t="s">
        <v>21</v>
      </c>
      <c r="G64" s="2" t="s">
        <v>22</v>
      </c>
      <c r="H64" s="3">
        <v>9269</v>
      </c>
      <c r="I64" s="4">
        <v>15</v>
      </c>
      <c r="J64" s="5">
        <v>4.08</v>
      </c>
      <c r="K64" s="4">
        <v>80</v>
      </c>
      <c r="L64" s="3">
        <f t="shared" si="0"/>
        <v>1853.7999999999995</v>
      </c>
      <c r="M64" s="3">
        <f t="shared" si="1"/>
        <v>55.147087790268472</v>
      </c>
      <c r="N64" s="3">
        <v>104.4</v>
      </c>
      <c r="O64" s="5">
        <f t="shared" si="2"/>
        <v>52.822881025161372</v>
      </c>
      <c r="P64" s="2" t="s">
        <v>29</v>
      </c>
    </row>
    <row r="65" spans="1:16" x14ac:dyDescent="0.2">
      <c r="A65" s="2" t="s">
        <v>201</v>
      </c>
      <c r="B65" s="2" t="s">
        <v>202</v>
      </c>
      <c r="C65" s="2" t="s">
        <v>77</v>
      </c>
      <c r="D65" s="2" t="s">
        <v>19</v>
      </c>
      <c r="E65" s="2" t="s">
        <v>177</v>
      </c>
      <c r="F65" s="2" t="s">
        <v>50</v>
      </c>
      <c r="G65" s="2" t="s">
        <v>22</v>
      </c>
      <c r="H65" s="3">
        <v>8477</v>
      </c>
      <c r="I65" s="4">
        <v>25</v>
      </c>
      <c r="J65" s="5">
        <v>4.28</v>
      </c>
      <c r="K65" s="4">
        <v>90</v>
      </c>
      <c r="L65" s="3">
        <f t="shared" si="0"/>
        <v>847.69999999999982</v>
      </c>
      <c r="M65" s="3">
        <f t="shared" si="1"/>
        <v>41.459087141566478</v>
      </c>
      <c r="N65" s="3">
        <v>137.1</v>
      </c>
      <c r="O65" s="5">
        <f t="shared" si="2"/>
        <v>30.240034384804144</v>
      </c>
      <c r="P65" s="2" t="s">
        <v>23</v>
      </c>
    </row>
    <row r="66" spans="1:16" x14ac:dyDescent="0.2">
      <c r="A66" s="2" t="s">
        <v>203</v>
      </c>
      <c r="B66" s="2" t="s">
        <v>204</v>
      </c>
      <c r="C66" s="2" t="s">
        <v>32</v>
      </c>
      <c r="D66" s="2" t="s">
        <v>32</v>
      </c>
      <c r="E66" s="2" t="s">
        <v>81</v>
      </c>
      <c r="F66" s="2" t="s">
        <v>21</v>
      </c>
      <c r="G66" s="2" t="s">
        <v>44</v>
      </c>
      <c r="H66" s="3">
        <v>13398</v>
      </c>
      <c r="I66" s="4">
        <v>25</v>
      </c>
      <c r="J66" s="5">
        <v>5.53</v>
      </c>
      <c r="K66" s="4">
        <v>85</v>
      </c>
      <c r="L66" s="3">
        <f t="shared" ref="L66:L129" si="3">H66*(1-K66/100)</f>
        <v>2009.7000000000003</v>
      </c>
      <c r="M66" s="3">
        <f t="shared" ref="M66:M129" si="4">PMT(J66/100/12, I66*12, -(H66*K66/100))</f>
        <v>70.138303336620638</v>
      </c>
      <c r="N66" s="3">
        <v>211.4</v>
      </c>
      <c r="O66" s="5">
        <f t="shared" ref="O66:O129" si="5">IFERROR(M66/N66*100,0)</f>
        <v>33.178005362639844</v>
      </c>
      <c r="P66" s="2" t="s">
        <v>23</v>
      </c>
    </row>
    <row r="67" spans="1:16" x14ac:dyDescent="0.2">
      <c r="A67" s="2" t="s">
        <v>205</v>
      </c>
      <c r="B67" s="2" t="s">
        <v>206</v>
      </c>
      <c r="C67" s="2" t="s">
        <v>56</v>
      </c>
      <c r="D67" s="2" t="s">
        <v>57</v>
      </c>
      <c r="E67" s="2" t="s">
        <v>68</v>
      </c>
      <c r="F67" s="2" t="s">
        <v>28</v>
      </c>
      <c r="G67" s="2" t="s">
        <v>98</v>
      </c>
      <c r="H67" s="3">
        <v>13694</v>
      </c>
      <c r="I67" s="4">
        <v>15</v>
      </c>
      <c r="J67" s="5">
        <v>5.34</v>
      </c>
      <c r="K67" s="4">
        <v>80</v>
      </c>
      <c r="L67" s="3">
        <f t="shared" si="3"/>
        <v>2738.7999999999993</v>
      </c>
      <c r="M67" s="3">
        <f t="shared" si="4"/>
        <v>88.585697923131335</v>
      </c>
      <c r="N67" s="3">
        <v>163.80000000000001</v>
      </c>
      <c r="O67" s="5">
        <f t="shared" si="5"/>
        <v>54.08162266369434</v>
      </c>
      <c r="P67" s="2" t="s">
        <v>36</v>
      </c>
    </row>
    <row r="68" spans="1:16" x14ac:dyDescent="0.2">
      <c r="A68" s="2" t="s">
        <v>207</v>
      </c>
      <c r="B68" s="2" t="s">
        <v>208</v>
      </c>
      <c r="C68" s="2" t="s">
        <v>100</v>
      </c>
      <c r="D68" s="2" t="s">
        <v>32</v>
      </c>
      <c r="E68" s="2" t="s">
        <v>78</v>
      </c>
      <c r="F68" s="2" t="s">
        <v>59</v>
      </c>
      <c r="G68" s="2" t="s">
        <v>98</v>
      </c>
      <c r="H68" s="3">
        <v>16341</v>
      </c>
      <c r="I68" s="4">
        <v>25</v>
      </c>
      <c r="J68" s="5">
        <v>3.96</v>
      </c>
      <c r="K68" s="4">
        <v>75</v>
      </c>
      <c r="L68" s="3">
        <f t="shared" si="3"/>
        <v>4085.25</v>
      </c>
      <c r="M68" s="3">
        <f t="shared" si="4"/>
        <v>64.419988021897154</v>
      </c>
      <c r="N68" s="3">
        <v>201.9</v>
      </c>
      <c r="O68" s="5">
        <f t="shared" si="5"/>
        <v>31.906878663643955</v>
      </c>
      <c r="P68" s="2" t="s">
        <v>36</v>
      </c>
    </row>
    <row r="69" spans="1:16" x14ac:dyDescent="0.2">
      <c r="A69" s="2" t="s">
        <v>209</v>
      </c>
      <c r="B69" s="2" t="s">
        <v>210</v>
      </c>
      <c r="C69" s="2" t="s">
        <v>62</v>
      </c>
      <c r="D69" s="2" t="s">
        <v>63</v>
      </c>
      <c r="E69" s="2" t="s">
        <v>97</v>
      </c>
      <c r="F69" s="2" t="s">
        <v>59</v>
      </c>
      <c r="G69" s="2" t="s">
        <v>44</v>
      </c>
      <c r="H69" s="3">
        <v>16131</v>
      </c>
      <c r="I69" s="4">
        <v>30</v>
      </c>
      <c r="J69" s="5">
        <v>4.57</v>
      </c>
      <c r="K69" s="4">
        <v>75</v>
      </c>
      <c r="L69" s="3">
        <f t="shared" si="3"/>
        <v>4032.75</v>
      </c>
      <c r="M69" s="3">
        <f t="shared" si="4"/>
        <v>61.804276445191618</v>
      </c>
      <c r="N69" s="3">
        <v>272</v>
      </c>
      <c r="O69" s="5">
        <f t="shared" si="5"/>
        <v>22.722160457791034</v>
      </c>
      <c r="P69" s="2" t="s">
        <v>36</v>
      </c>
    </row>
    <row r="70" spans="1:16" x14ac:dyDescent="0.2">
      <c r="A70" s="2" t="s">
        <v>211</v>
      </c>
      <c r="B70" s="2" t="s">
        <v>212</v>
      </c>
      <c r="C70" s="2" t="s">
        <v>62</v>
      </c>
      <c r="D70" s="2" t="s">
        <v>63</v>
      </c>
      <c r="E70" s="2" t="s">
        <v>33</v>
      </c>
      <c r="F70" s="2" t="s">
        <v>21</v>
      </c>
      <c r="G70" s="2" t="s">
        <v>22</v>
      </c>
      <c r="H70" s="3">
        <v>16857</v>
      </c>
      <c r="I70" s="4">
        <v>30</v>
      </c>
      <c r="J70" s="5">
        <v>4.96</v>
      </c>
      <c r="K70" s="4">
        <v>90</v>
      </c>
      <c r="L70" s="3">
        <f t="shared" si="3"/>
        <v>1685.6999999999996</v>
      </c>
      <c r="M70" s="3">
        <f t="shared" si="4"/>
        <v>81.072340765978865</v>
      </c>
      <c r="N70" s="3">
        <v>258.60000000000002</v>
      </c>
      <c r="O70" s="5">
        <f t="shared" si="5"/>
        <v>31.350479801229259</v>
      </c>
      <c r="P70" s="2" t="s">
        <v>23</v>
      </c>
    </row>
    <row r="71" spans="1:16" x14ac:dyDescent="0.2">
      <c r="A71" s="2" t="s">
        <v>213</v>
      </c>
      <c r="B71" s="2" t="s">
        <v>214</v>
      </c>
      <c r="C71" s="2" t="s">
        <v>91</v>
      </c>
      <c r="D71" s="2" t="s">
        <v>92</v>
      </c>
      <c r="E71" s="2" t="s">
        <v>58</v>
      </c>
      <c r="F71" s="2" t="s">
        <v>21</v>
      </c>
      <c r="G71" s="2" t="s">
        <v>22</v>
      </c>
      <c r="H71" s="3">
        <v>14924</v>
      </c>
      <c r="I71" s="4">
        <v>20</v>
      </c>
      <c r="J71" s="5">
        <v>3.97</v>
      </c>
      <c r="K71" s="4">
        <v>80</v>
      </c>
      <c r="L71" s="3">
        <f t="shared" si="3"/>
        <v>2984.7999999999993</v>
      </c>
      <c r="M71" s="3">
        <f t="shared" si="4"/>
        <v>72.160608524931561</v>
      </c>
      <c r="N71" s="3">
        <v>263.3</v>
      </c>
      <c r="O71" s="5">
        <f t="shared" si="5"/>
        <v>27.406231874261888</v>
      </c>
      <c r="P71" s="2" t="s">
        <v>36</v>
      </c>
    </row>
    <row r="72" spans="1:16" x14ac:dyDescent="0.2">
      <c r="A72" s="2" t="s">
        <v>215</v>
      </c>
      <c r="B72" s="2" t="s">
        <v>216</v>
      </c>
      <c r="C72" s="2" t="s">
        <v>142</v>
      </c>
      <c r="D72" s="2" t="s">
        <v>143</v>
      </c>
      <c r="E72" s="2" t="s">
        <v>114</v>
      </c>
      <c r="F72" s="2" t="s">
        <v>21</v>
      </c>
      <c r="G72" s="2" t="s">
        <v>44</v>
      </c>
      <c r="H72" s="3">
        <v>11620</v>
      </c>
      <c r="I72" s="4">
        <v>25</v>
      </c>
      <c r="J72" s="5">
        <v>3.94</v>
      </c>
      <c r="K72" s="4">
        <v>80</v>
      </c>
      <c r="L72" s="3">
        <f t="shared" si="3"/>
        <v>2323.9999999999995</v>
      </c>
      <c r="M72" s="3">
        <f t="shared" si="4"/>
        <v>48.760267333804435</v>
      </c>
      <c r="N72" s="3">
        <v>192.5</v>
      </c>
      <c r="O72" s="5">
        <f t="shared" si="5"/>
        <v>25.330009004573732</v>
      </c>
      <c r="P72" s="2" t="s">
        <v>69</v>
      </c>
    </row>
    <row r="73" spans="1:16" x14ac:dyDescent="0.2">
      <c r="A73" s="2" t="s">
        <v>217</v>
      </c>
      <c r="B73" s="2" t="s">
        <v>166</v>
      </c>
      <c r="C73" s="2" t="s">
        <v>153</v>
      </c>
      <c r="D73" s="2" t="s">
        <v>19</v>
      </c>
      <c r="E73" s="2" t="s">
        <v>114</v>
      </c>
      <c r="F73" s="2" t="s">
        <v>34</v>
      </c>
      <c r="G73" s="2" t="s">
        <v>22</v>
      </c>
      <c r="H73" s="3">
        <v>17536</v>
      </c>
      <c r="I73" s="4">
        <v>30</v>
      </c>
      <c r="J73" s="5">
        <v>5.74</v>
      </c>
      <c r="K73" s="4">
        <v>90</v>
      </c>
      <c r="L73" s="3">
        <f t="shared" si="3"/>
        <v>1753.5999999999997</v>
      </c>
      <c r="M73" s="3">
        <f t="shared" si="4"/>
        <v>92.001567333672767</v>
      </c>
      <c r="N73" s="3">
        <v>221.8</v>
      </c>
      <c r="O73" s="5">
        <f t="shared" si="5"/>
        <v>41.479516381277172</v>
      </c>
      <c r="P73" s="2" t="s">
        <v>29</v>
      </c>
    </row>
    <row r="74" spans="1:16" x14ac:dyDescent="0.2">
      <c r="A74" s="2" t="s">
        <v>218</v>
      </c>
      <c r="B74" s="2" t="s">
        <v>219</v>
      </c>
      <c r="C74" s="2" t="s">
        <v>53</v>
      </c>
      <c r="D74" s="2" t="s">
        <v>19</v>
      </c>
      <c r="E74" s="2" t="s">
        <v>88</v>
      </c>
      <c r="F74" s="2" t="s">
        <v>50</v>
      </c>
      <c r="G74" s="2" t="s">
        <v>35</v>
      </c>
      <c r="H74" s="3">
        <v>13330</v>
      </c>
      <c r="I74" s="4">
        <v>25</v>
      </c>
      <c r="J74" s="5">
        <v>5.21</v>
      </c>
      <c r="K74" s="4">
        <v>80</v>
      </c>
      <c r="L74" s="3">
        <f t="shared" si="3"/>
        <v>2665.9999999999995</v>
      </c>
      <c r="M74" s="3">
        <f t="shared" si="4"/>
        <v>63.652368149297672</v>
      </c>
      <c r="N74" s="3">
        <v>206.5</v>
      </c>
      <c r="O74" s="5">
        <f t="shared" si="5"/>
        <v>30.824391355592095</v>
      </c>
      <c r="P74" s="2" t="s">
        <v>69</v>
      </c>
    </row>
    <row r="75" spans="1:16" x14ac:dyDescent="0.2">
      <c r="A75" s="2" t="s">
        <v>220</v>
      </c>
      <c r="B75" s="2" t="s">
        <v>52</v>
      </c>
      <c r="C75" s="2" t="s">
        <v>146</v>
      </c>
      <c r="D75" s="2" t="s">
        <v>19</v>
      </c>
      <c r="E75" s="2" t="s">
        <v>20</v>
      </c>
      <c r="F75" s="2" t="s">
        <v>21</v>
      </c>
      <c r="G75" s="2" t="s">
        <v>98</v>
      </c>
      <c r="H75" s="3">
        <v>8736</v>
      </c>
      <c r="I75" s="4">
        <v>30</v>
      </c>
      <c r="J75" s="5">
        <v>4.12</v>
      </c>
      <c r="K75" s="4">
        <v>80</v>
      </c>
      <c r="L75" s="3">
        <f t="shared" si="3"/>
        <v>1747.1999999999996</v>
      </c>
      <c r="M75" s="3">
        <f t="shared" si="4"/>
        <v>33.850901484849388</v>
      </c>
      <c r="N75" s="3">
        <v>111.1</v>
      </c>
      <c r="O75" s="5">
        <f t="shared" si="5"/>
        <v>30.468858222186668</v>
      </c>
      <c r="P75" s="2" t="s">
        <v>36</v>
      </c>
    </row>
    <row r="76" spans="1:16" x14ac:dyDescent="0.2">
      <c r="A76" s="2" t="s">
        <v>221</v>
      </c>
      <c r="B76" s="2" t="s">
        <v>222</v>
      </c>
      <c r="C76" s="2" t="s">
        <v>72</v>
      </c>
      <c r="D76" s="2" t="s">
        <v>73</v>
      </c>
      <c r="E76" s="2" t="s">
        <v>49</v>
      </c>
      <c r="F76" s="2" t="s">
        <v>28</v>
      </c>
      <c r="G76" s="2" t="s">
        <v>44</v>
      </c>
      <c r="H76" s="3">
        <v>14446</v>
      </c>
      <c r="I76" s="4">
        <v>20</v>
      </c>
      <c r="J76" s="5">
        <v>4.3600000000000003</v>
      </c>
      <c r="K76" s="4">
        <v>80</v>
      </c>
      <c r="L76" s="3">
        <f t="shared" si="3"/>
        <v>2889.1999999999994</v>
      </c>
      <c r="M76" s="3">
        <f t="shared" si="4"/>
        <v>72.243556638666163</v>
      </c>
      <c r="N76" s="3">
        <v>213.8</v>
      </c>
      <c r="O76" s="5">
        <f t="shared" si="5"/>
        <v>33.790251000311585</v>
      </c>
      <c r="P76" s="2" t="s">
        <v>36</v>
      </c>
    </row>
    <row r="77" spans="1:16" x14ac:dyDescent="0.2">
      <c r="A77" s="2" t="s">
        <v>223</v>
      </c>
      <c r="B77" s="2" t="s">
        <v>224</v>
      </c>
      <c r="C77" s="2" t="s">
        <v>62</v>
      </c>
      <c r="D77" s="2" t="s">
        <v>63</v>
      </c>
      <c r="E77" s="2" t="s">
        <v>33</v>
      </c>
      <c r="F77" s="2" t="s">
        <v>21</v>
      </c>
      <c r="G77" s="2" t="s">
        <v>98</v>
      </c>
      <c r="H77" s="3">
        <v>17227</v>
      </c>
      <c r="I77" s="4">
        <v>15</v>
      </c>
      <c r="J77" s="5">
        <v>4.97</v>
      </c>
      <c r="K77" s="4">
        <v>90</v>
      </c>
      <c r="L77" s="3">
        <f t="shared" si="3"/>
        <v>1722.6999999999996</v>
      </c>
      <c r="M77" s="3">
        <f t="shared" si="4"/>
        <v>122.36485758495168</v>
      </c>
      <c r="N77" s="3">
        <v>270.60000000000002</v>
      </c>
      <c r="O77" s="5">
        <f t="shared" si="5"/>
        <v>45.219829114911924</v>
      </c>
      <c r="P77" s="2" t="s">
        <v>36</v>
      </c>
    </row>
    <row r="78" spans="1:16" x14ac:dyDescent="0.2">
      <c r="A78" s="2" t="s">
        <v>225</v>
      </c>
      <c r="B78" s="2" t="s">
        <v>226</v>
      </c>
      <c r="C78" s="2" t="s">
        <v>91</v>
      </c>
      <c r="D78" s="2" t="s">
        <v>92</v>
      </c>
      <c r="E78" s="2" t="s">
        <v>64</v>
      </c>
      <c r="F78" s="2" t="s">
        <v>28</v>
      </c>
      <c r="G78" s="2" t="s">
        <v>22</v>
      </c>
      <c r="H78" s="3">
        <v>14786</v>
      </c>
      <c r="I78" s="4">
        <v>25</v>
      </c>
      <c r="J78" s="5">
        <v>4.66</v>
      </c>
      <c r="K78" s="4">
        <v>70</v>
      </c>
      <c r="L78" s="3">
        <f t="shared" si="3"/>
        <v>4435.8000000000011</v>
      </c>
      <c r="M78" s="3">
        <f t="shared" si="4"/>
        <v>58.473768054651771</v>
      </c>
      <c r="N78" s="3">
        <v>228.3</v>
      </c>
      <c r="O78" s="5">
        <f t="shared" si="5"/>
        <v>25.612688591612688</v>
      </c>
      <c r="P78" s="2" t="s">
        <v>36</v>
      </c>
    </row>
    <row r="79" spans="1:16" x14ac:dyDescent="0.2">
      <c r="A79" s="2" t="s">
        <v>227</v>
      </c>
      <c r="B79" s="2" t="s">
        <v>228</v>
      </c>
      <c r="C79" s="2" t="s">
        <v>100</v>
      </c>
      <c r="D79" s="2" t="s">
        <v>32</v>
      </c>
      <c r="E79" s="2" t="s">
        <v>114</v>
      </c>
      <c r="F79" s="2" t="s">
        <v>34</v>
      </c>
      <c r="G79" s="2" t="s">
        <v>22</v>
      </c>
      <c r="H79" s="3">
        <v>5713</v>
      </c>
      <c r="I79" s="4">
        <v>15</v>
      </c>
      <c r="J79" s="5">
        <v>4.32</v>
      </c>
      <c r="K79" s="4">
        <v>90</v>
      </c>
      <c r="L79" s="3">
        <f t="shared" si="3"/>
        <v>571.29999999999984</v>
      </c>
      <c r="M79" s="3">
        <f t="shared" si="4"/>
        <v>38.862308791247109</v>
      </c>
      <c r="N79" s="3">
        <v>71.2</v>
      </c>
      <c r="O79" s="5">
        <f t="shared" si="5"/>
        <v>54.581894369729092</v>
      </c>
      <c r="P79" s="2" t="s">
        <v>23</v>
      </c>
    </row>
    <row r="80" spans="1:16" x14ac:dyDescent="0.2">
      <c r="A80" s="2" t="s">
        <v>229</v>
      </c>
      <c r="B80" s="2" t="s">
        <v>230</v>
      </c>
      <c r="C80" s="2" t="s">
        <v>56</v>
      </c>
      <c r="D80" s="2" t="s">
        <v>57</v>
      </c>
      <c r="E80" s="2" t="s">
        <v>107</v>
      </c>
      <c r="F80" s="2" t="s">
        <v>34</v>
      </c>
      <c r="G80" s="2" t="s">
        <v>44</v>
      </c>
      <c r="H80" s="3">
        <v>15375</v>
      </c>
      <c r="I80" s="4">
        <v>25</v>
      </c>
      <c r="J80" s="5">
        <v>5.0999999999999996</v>
      </c>
      <c r="K80" s="4">
        <v>70</v>
      </c>
      <c r="L80" s="3">
        <f t="shared" si="3"/>
        <v>4612.5000000000009</v>
      </c>
      <c r="M80" s="3">
        <f t="shared" si="4"/>
        <v>63.545144093605963</v>
      </c>
      <c r="N80" s="3">
        <v>164.8</v>
      </c>
      <c r="O80" s="5">
        <f t="shared" si="5"/>
        <v>38.558946658741476</v>
      </c>
      <c r="P80" s="2" t="s">
        <v>23</v>
      </c>
    </row>
    <row r="81" spans="1:16" x14ac:dyDescent="0.2">
      <c r="A81" s="2" t="s">
        <v>231</v>
      </c>
      <c r="B81" s="2" t="s">
        <v>232</v>
      </c>
      <c r="C81" s="2" t="s">
        <v>146</v>
      </c>
      <c r="D81" s="2" t="s">
        <v>19</v>
      </c>
      <c r="E81" s="2" t="s">
        <v>78</v>
      </c>
      <c r="F81" s="2" t="s">
        <v>50</v>
      </c>
      <c r="G81" s="2" t="s">
        <v>22</v>
      </c>
      <c r="H81" s="3">
        <v>6106</v>
      </c>
      <c r="I81" s="4">
        <v>15</v>
      </c>
      <c r="J81" s="5">
        <v>4.45</v>
      </c>
      <c r="K81" s="4">
        <v>85</v>
      </c>
      <c r="L81" s="3">
        <f t="shared" si="3"/>
        <v>915.90000000000009</v>
      </c>
      <c r="M81" s="3">
        <f t="shared" si="4"/>
        <v>39.571418797034106</v>
      </c>
      <c r="N81" s="3">
        <v>107.6</v>
      </c>
      <c r="O81" s="5">
        <f t="shared" si="5"/>
        <v>36.776411521407162</v>
      </c>
      <c r="P81" s="2" t="s">
        <v>36</v>
      </c>
    </row>
    <row r="82" spans="1:16" x14ac:dyDescent="0.2">
      <c r="A82" s="2" t="s">
        <v>233</v>
      </c>
      <c r="B82" s="2" t="s">
        <v>166</v>
      </c>
      <c r="C82" s="2" t="s">
        <v>56</v>
      </c>
      <c r="D82" s="2" t="s">
        <v>57</v>
      </c>
      <c r="E82" s="2" t="s">
        <v>58</v>
      </c>
      <c r="F82" s="2" t="s">
        <v>21</v>
      </c>
      <c r="G82" s="2" t="s">
        <v>98</v>
      </c>
      <c r="H82" s="3">
        <v>9672</v>
      </c>
      <c r="I82" s="4">
        <v>15</v>
      </c>
      <c r="J82" s="5">
        <v>4.93</v>
      </c>
      <c r="K82" s="4">
        <v>75</v>
      </c>
      <c r="L82" s="3">
        <f t="shared" si="3"/>
        <v>2418</v>
      </c>
      <c r="M82" s="3">
        <f t="shared" si="4"/>
        <v>57.100004751008896</v>
      </c>
      <c r="N82" s="3">
        <v>126.5</v>
      </c>
      <c r="O82" s="5">
        <f t="shared" si="5"/>
        <v>45.138343676686873</v>
      </c>
      <c r="P82" s="2" t="s">
        <v>36</v>
      </c>
    </row>
    <row r="83" spans="1:16" x14ac:dyDescent="0.2">
      <c r="A83" s="2" t="s">
        <v>234</v>
      </c>
      <c r="B83" s="2" t="s">
        <v>235</v>
      </c>
      <c r="C83" s="2" t="s">
        <v>26</v>
      </c>
      <c r="D83" s="2" t="s">
        <v>27</v>
      </c>
      <c r="E83" s="2" t="s">
        <v>68</v>
      </c>
      <c r="F83" s="2" t="s">
        <v>59</v>
      </c>
      <c r="G83" s="2" t="s">
        <v>44</v>
      </c>
      <c r="H83" s="3">
        <v>10672</v>
      </c>
      <c r="I83" s="4">
        <v>25</v>
      </c>
      <c r="J83" s="5">
        <v>5.18</v>
      </c>
      <c r="K83" s="4">
        <v>75</v>
      </c>
      <c r="L83" s="3">
        <f t="shared" si="3"/>
        <v>2668</v>
      </c>
      <c r="M83" s="3">
        <f t="shared" si="4"/>
        <v>47.633811777773644</v>
      </c>
      <c r="N83" s="3">
        <v>172.5</v>
      </c>
      <c r="O83" s="5">
        <f t="shared" si="5"/>
        <v>27.613803929144144</v>
      </c>
      <c r="P83" s="2" t="s">
        <v>36</v>
      </c>
    </row>
    <row r="84" spans="1:16" x14ac:dyDescent="0.2">
      <c r="A84" s="2" t="s">
        <v>236</v>
      </c>
      <c r="B84" s="2" t="s">
        <v>237</v>
      </c>
      <c r="C84" s="2" t="s">
        <v>119</v>
      </c>
      <c r="D84" s="2" t="s">
        <v>120</v>
      </c>
      <c r="E84" s="2" t="s">
        <v>177</v>
      </c>
      <c r="F84" s="2" t="s">
        <v>34</v>
      </c>
      <c r="G84" s="2" t="s">
        <v>98</v>
      </c>
      <c r="H84" s="3">
        <v>9224</v>
      </c>
      <c r="I84" s="4">
        <v>15</v>
      </c>
      <c r="J84" s="5">
        <v>4.55</v>
      </c>
      <c r="K84" s="4">
        <v>85</v>
      </c>
      <c r="L84" s="3">
        <f t="shared" si="3"/>
        <v>1383.6000000000001</v>
      </c>
      <c r="M84" s="3">
        <f t="shared" si="4"/>
        <v>60.179079231082369</v>
      </c>
      <c r="N84" s="3">
        <v>108.4</v>
      </c>
      <c r="O84" s="5">
        <f t="shared" si="5"/>
        <v>55.515755748230966</v>
      </c>
      <c r="P84" s="2" t="s">
        <v>23</v>
      </c>
    </row>
    <row r="85" spans="1:16" x14ac:dyDescent="0.2">
      <c r="A85" s="2" t="s">
        <v>238</v>
      </c>
      <c r="B85" s="2" t="s">
        <v>216</v>
      </c>
      <c r="C85" s="2" t="s">
        <v>53</v>
      </c>
      <c r="D85" s="2" t="s">
        <v>19</v>
      </c>
      <c r="E85" s="2" t="s">
        <v>20</v>
      </c>
      <c r="F85" s="2" t="s">
        <v>34</v>
      </c>
      <c r="G85" s="2" t="s">
        <v>98</v>
      </c>
      <c r="H85" s="3">
        <v>9667</v>
      </c>
      <c r="I85" s="4">
        <v>15</v>
      </c>
      <c r="J85" s="5">
        <v>4.16</v>
      </c>
      <c r="K85" s="4">
        <v>90</v>
      </c>
      <c r="L85" s="3">
        <f t="shared" si="3"/>
        <v>966.69999999999982</v>
      </c>
      <c r="M85" s="3">
        <f t="shared" si="4"/>
        <v>65.054881415887493</v>
      </c>
      <c r="N85" s="3">
        <v>137.69999999999999</v>
      </c>
      <c r="O85" s="5">
        <f t="shared" si="5"/>
        <v>47.243922596868195</v>
      </c>
      <c r="P85" s="2" t="s">
        <v>69</v>
      </c>
    </row>
    <row r="86" spans="1:16" x14ac:dyDescent="0.2">
      <c r="A86" s="2" t="s">
        <v>239</v>
      </c>
      <c r="B86" s="2" t="s">
        <v>17</v>
      </c>
      <c r="C86" s="2" t="s">
        <v>47</v>
      </c>
      <c r="D86" s="2" t="s">
        <v>48</v>
      </c>
      <c r="E86" s="2" t="s">
        <v>41</v>
      </c>
      <c r="F86" s="2" t="s">
        <v>34</v>
      </c>
      <c r="G86" s="2" t="s">
        <v>22</v>
      </c>
      <c r="H86" s="3">
        <v>13753</v>
      </c>
      <c r="I86" s="4">
        <v>25</v>
      </c>
      <c r="J86" s="5">
        <v>3.94</v>
      </c>
      <c r="K86" s="4">
        <v>80</v>
      </c>
      <c r="L86" s="3">
        <f t="shared" si="3"/>
        <v>2750.5999999999995</v>
      </c>
      <c r="M86" s="3">
        <f t="shared" si="4"/>
        <v>57.710839642152536</v>
      </c>
      <c r="N86" s="3">
        <v>213.2</v>
      </c>
      <c r="O86" s="5">
        <f t="shared" si="5"/>
        <v>27.068874128589371</v>
      </c>
      <c r="P86" s="2" t="s">
        <v>36</v>
      </c>
    </row>
    <row r="87" spans="1:16" x14ac:dyDescent="0.2">
      <c r="A87" s="2" t="s">
        <v>240</v>
      </c>
      <c r="B87" s="2" t="s">
        <v>179</v>
      </c>
      <c r="C87" s="2" t="s">
        <v>39</v>
      </c>
      <c r="D87" s="2" t="s">
        <v>40</v>
      </c>
      <c r="E87" s="2" t="s">
        <v>68</v>
      </c>
      <c r="F87" s="2" t="s">
        <v>21</v>
      </c>
      <c r="G87" s="2" t="s">
        <v>98</v>
      </c>
      <c r="H87" s="3">
        <v>6563</v>
      </c>
      <c r="I87" s="4">
        <v>25</v>
      </c>
      <c r="J87" s="5">
        <v>3.92</v>
      </c>
      <c r="K87" s="4">
        <v>70</v>
      </c>
      <c r="L87" s="3">
        <f t="shared" si="3"/>
        <v>1968.9000000000003</v>
      </c>
      <c r="M87" s="3">
        <f t="shared" si="4"/>
        <v>24.046880862741791</v>
      </c>
      <c r="N87" s="3">
        <v>95.5</v>
      </c>
      <c r="O87" s="5">
        <f t="shared" si="5"/>
        <v>25.17997996098617</v>
      </c>
      <c r="P87" s="2" t="s">
        <v>23</v>
      </c>
    </row>
    <row r="88" spans="1:16" x14ac:dyDescent="0.2">
      <c r="A88" s="2" t="s">
        <v>241</v>
      </c>
      <c r="B88" s="2" t="s">
        <v>242</v>
      </c>
      <c r="C88" s="2" t="s">
        <v>47</v>
      </c>
      <c r="D88" s="2" t="s">
        <v>48</v>
      </c>
      <c r="E88" s="2" t="s">
        <v>97</v>
      </c>
      <c r="F88" s="2" t="s">
        <v>59</v>
      </c>
      <c r="G88" s="2" t="s">
        <v>98</v>
      </c>
      <c r="H88" s="3">
        <v>11521</v>
      </c>
      <c r="I88" s="4">
        <v>25</v>
      </c>
      <c r="J88" s="5">
        <v>5.67</v>
      </c>
      <c r="K88" s="4">
        <v>80</v>
      </c>
      <c r="L88" s="3">
        <f t="shared" si="3"/>
        <v>2304.1999999999994</v>
      </c>
      <c r="M88" s="3">
        <f t="shared" si="4"/>
        <v>57.538735407647764</v>
      </c>
      <c r="N88" s="3">
        <v>193.5</v>
      </c>
      <c r="O88" s="5">
        <f t="shared" si="5"/>
        <v>29.735780572427785</v>
      </c>
      <c r="P88" s="2" t="s">
        <v>36</v>
      </c>
    </row>
    <row r="89" spans="1:16" x14ac:dyDescent="0.2">
      <c r="A89" s="2" t="s">
        <v>243</v>
      </c>
      <c r="B89" s="2" t="s">
        <v>244</v>
      </c>
      <c r="C89" s="2" t="s">
        <v>175</v>
      </c>
      <c r="D89" s="2" t="s">
        <v>176</v>
      </c>
      <c r="E89" s="2" t="s">
        <v>41</v>
      </c>
      <c r="F89" s="2" t="s">
        <v>50</v>
      </c>
      <c r="G89" s="2" t="s">
        <v>44</v>
      </c>
      <c r="H89" s="3">
        <v>17015</v>
      </c>
      <c r="I89" s="4">
        <v>15</v>
      </c>
      <c r="J89" s="5">
        <v>4.74</v>
      </c>
      <c r="K89" s="4">
        <v>80</v>
      </c>
      <c r="L89" s="3">
        <f t="shared" si="3"/>
        <v>3402.9999999999991</v>
      </c>
      <c r="M89" s="3">
        <f t="shared" si="4"/>
        <v>105.80825458052537</v>
      </c>
      <c r="N89" s="3">
        <v>183.1</v>
      </c>
      <c r="O89" s="5">
        <f t="shared" si="5"/>
        <v>57.787140677512497</v>
      </c>
      <c r="P89" s="2" t="s">
        <v>36</v>
      </c>
    </row>
    <row r="90" spans="1:16" x14ac:dyDescent="0.2">
      <c r="A90" s="2" t="s">
        <v>245</v>
      </c>
      <c r="B90" s="2" t="s">
        <v>246</v>
      </c>
      <c r="C90" s="2" t="s">
        <v>91</v>
      </c>
      <c r="D90" s="2" t="s">
        <v>92</v>
      </c>
      <c r="E90" s="2" t="s">
        <v>78</v>
      </c>
      <c r="F90" s="2" t="s">
        <v>28</v>
      </c>
      <c r="G90" s="2" t="s">
        <v>98</v>
      </c>
      <c r="H90" s="3">
        <v>15227</v>
      </c>
      <c r="I90" s="4">
        <v>25</v>
      </c>
      <c r="J90" s="5">
        <v>5.44</v>
      </c>
      <c r="K90" s="4">
        <v>90</v>
      </c>
      <c r="L90" s="3">
        <f t="shared" si="3"/>
        <v>1522.6999999999996</v>
      </c>
      <c r="M90" s="3">
        <f t="shared" si="4"/>
        <v>83.666052805253599</v>
      </c>
      <c r="N90" s="3">
        <v>216.3</v>
      </c>
      <c r="O90" s="5">
        <f t="shared" si="5"/>
        <v>38.680560705156545</v>
      </c>
      <c r="P90" s="2" t="s">
        <v>23</v>
      </c>
    </row>
    <row r="91" spans="1:16" x14ac:dyDescent="0.2">
      <c r="A91" s="2" t="s">
        <v>247</v>
      </c>
      <c r="B91" s="2" t="s">
        <v>248</v>
      </c>
      <c r="C91" s="2" t="s">
        <v>91</v>
      </c>
      <c r="D91" s="2" t="s">
        <v>92</v>
      </c>
      <c r="E91" s="2" t="s">
        <v>68</v>
      </c>
      <c r="F91" s="2" t="s">
        <v>34</v>
      </c>
      <c r="G91" s="2" t="s">
        <v>35</v>
      </c>
      <c r="H91" s="3">
        <v>8858</v>
      </c>
      <c r="I91" s="4">
        <v>25</v>
      </c>
      <c r="J91" s="5">
        <v>4.68</v>
      </c>
      <c r="K91" s="4">
        <v>80</v>
      </c>
      <c r="L91" s="3">
        <f t="shared" si="3"/>
        <v>1771.5999999999997</v>
      </c>
      <c r="M91" s="3">
        <f t="shared" si="4"/>
        <v>40.116007349065164</v>
      </c>
      <c r="N91" s="3">
        <v>99.1</v>
      </c>
      <c r="O91" s="5">
        <f t="shared" si="5"/>
        <v>40.480330321962832</v>
      </c>
      <c r="P91" s="2" t="s">
        <v>36</v>
      </c>
    </row>
    <row r="92" spans="1:16" x14ac:dyDescent="0.2">
      <c r="A92" s="2" t="s">
        <v>249</v>
      </c>
      <c r="B92" s="2" t="s">
        <v>250</v>
      </c>
      <c r="C92" s="2" t="s">
        <v>175</v>
      </c>
      <c r="D92" s="2" t="s">
        <v>176</v>
      </c>
      <c r="E92" s="2" t="s">
        <v>177</v>
      </c>
      <c r="F92" s="2" t="s">
        <v>50</v>
      </c>
      <c r="G92" s="2" t="s">
        <v>98</v>
      </c>
      <c r="H92" s="3">
        <v>17817</v>
      </c>
      <c r="I92" s="4">
        <v>20</v>
      </c>
      <c r="J92" s="5">
        <v>5.25</v>
      </c>
      <c r="K92" s="4">
        <v>90</v>
      </c>
      <c r="L92" s="3">
        <f t="shared" si="3"/>
        <v>1781.6999999999996</v>
      </c>
      <c r="M92" s="3">
        <f t="shared" si="4"/>
        <v>108.05293360594095</v>
      </c>
      <c r="N92" s="3">
        <v>187.9</v>
      </c>
      <c r="O92" s="5">
        <f t="shared" si="5"/>
        <v>57.505552743981347</v>
      </c>
      <c r="P92" s="2" t="s">
        <v>29</v>
      </c>
    </row>
    <row r="93" spans="1:16" x14ac:dyDescent="0.2">
      <c r="A93" s="2" t="s">
        <v>251</v>
      </c>
      <c r="B93" s="2" t="s">
        <v>242</v>
      </c>
      <c r="C93" s="2" t="s">
        <v>100</v>
      </c>
      <c r="D93" s="2" t="s">
        <v>32</v>
      </c>
      <c r="E93" s="2" t="s">
        <v>81</v>
      </c>
      <c r="F93" s="2" t="s">
        <v>59</v>
      </c>
      <c r="G93" s="2" t="s">
        <v>98</v>
      </c>
      <c r="H93" s="3">
        <v>11426</v>
      </c>
      <c r="I93" s="4">
        <v>30</v>
      </c>
      <c r="J93" s="5">
        <v>4.92</v>
      </c>
      <c r="K93" s="4">
        <v>75</v>
      </c>
      <c r="L93" s="3">
        <f t="shared" si="3"/>
        <v>2856.5</v>
      </c>
      <c r="M93" s="3">
        <f t="shared" si="4"/>
        <v>45.584857732320671</v>
      </c>
      <c r="N93" s="3">
        <v>143.4</v>
      </c>
      <c r="O93" s="5">
        <f t="shared" si="5"/>
        <v>31.788603718494191</v>
      </c>
      <c r="P93" s="2" t="s">
        <v>69</v>
      </c>
    </row>
    <row r="94" spans="1:16" x14ac:dyDescent="0.2">
      <c r="A94" s="2" t="s">
        <v>252</v>
      </c>
      <c r="B94" s="2" t="s">
        <v>253</v>
      </c>
      <c r="C94" s="2" t="s">
        <v>131</v>
      </c>
      <c r="D94" s="2" t="s">
        <v>27</v>
      </c>
      <c r="E94" s="2" t="s">
        <v>81</v>
      </c>
      <c r="F94" s="2" t="s">
        <v>59</v>
      </c>
      <c r="G94" s="2" t="s">
        <v>98</v>
      </c>
      <c r="H94" s="3">
        <v>4398</v>
      </c>
      <c r="I94" s="4">
        <v>20</v>
      </c>
      <c r="J94" s="5">
        <v>3.97</v>
      </c>
      <c r="K94" s="4">
        <v>80</v>
      </c>
      <c r="L94" s="3">
        <f t="shared" si="3"/>
        <v>879.5999999999998</v>
      </c>
      <c r="M94" s="3">
        <f t="shared" si="4"/>
        <v>21.265234273160615</v>
      </c>
      <c r="N94" s="3">
        <v>50</v>
      </c>
      <c r="O94" s="5">
        <f t="shared" si="5"/>
        <v>42.530468546321231</v>
      </c>
      <c r="P94" s="2" t="s">
        <v>36</v>
      </c>
    </row>
    <row r="95" spans="1:16" x14ac:dyDescent="0.2">
      <c r="A95" s="2" t="s">
        <v>254</v>
      </c>
      <c r="B95" s="2" t="s">
        <v>255</v>
      </c>
      <c r="C95" s="2" t="s">
        <v>84</v>
      </c>
      <c r="D95" s="2" t="s">
        <v>85</v>
      </c>
      <c r="E95" s="2" t="s">
        <v>64</v>
      </c>
      <c r="F95" s="2" t="s">
        <v>50</v>
      </c>
      <c r="G95" s="2" t="s">
        <v>44</v>
      </c>
      <c r="H95" s="3">
        <v>17781</v>
      </c>
      <c r="I95" s="4">
        <v>30</v>
      </c>
      <c r="J95" s="5">
        <v>4.84</v>
      </c>
      <c r="K95" s="4">
        <v>70</v>
      </c>
      <c r="L95" s="3">
        <f t="shared" si="3"/>
        <v>5334.3000000000011</v>
      </c>
      <c r="M95" s="3">
        <f t="shared" si="4"/>
        <v>65.604795512380264</v>
      </c>
      <c r="N95" s="3">
        <v>223.7</v>
      </c>
      <c r="O95" s="5">
        <f t="shared" si="5"/>
        <v>29.327132549119479</v>
      </c>
      <c r="P95" s="2" t="s">
        <v>29</v>
      </c>
    </row>
    <row r="96" spans="1:16" x14ac:dyDescent="0.2">
      <c r="A96" s="2" t="s">
        <v>256</v>
      </c>
      <c r="B96" s="2" t="s">
        <v>257</v>
      </c>
      <c r="C96" s="2" t="s">
        <v>56</v>
      </c>
      <c r="D96" s="2" t="s">
        <v>57</v>
      </c>
      <c r="E96" s="2" t="s">
        <v>81</v>
      </c>
      <c r="F96" s="2" t="s">
        <v>59</v>
      </c>
      <c r="G96" s="2" t="s">
        <v>98</v>
      </c>
      <c r="H96" s="3">
        <v>17736</v>
      </c>
      <c r="I96" s="4">
        <v>30</v>
      </c>
      <c r="J96" s="5">
        <v>5.58</v>
      </c>
      <c r="K96" s="4">
        <v>90</v>
      </c>
      <c r="L96" s="3">
        <f t="shared" si="3"/>
        <v>1773.5999999999997</v>
      </c>
      <c r="M96" s="3">
        <f t="shared" si="4"/>
        <v>91.435573487824371</v>
      </c>
      <c r="N96" s="3">
        <v>190.9</v>
      </c>
      <c r="O96" s="5">
        <f t="shared" si="5"/>
        <v>47.897105022432882</v>
      </c>
      <c r="P96" s="2" t="s">
        <v>29</v>
      </c>
    </row>
    <row r="97" spans="1:16" x14ac:dyDescent="0.2">
      <c r="A97" s="2" t="s">
        <v>258</v>
      </c>
      <c r="B97" s="2" t="s">
        <v>43</v>
      </c>
      <c r="C97" s="2" t="s">
        <v>62</v>
      </c>
      <c r="D97" s="2" t="s">
        <v>63</v>
      </c>
      <c r="E97" s="2" t="s">
        <v>177</v>
      </c>
      <c r="F97" s="2" t="s">
        <v>50</v>
      </c>
      <c r="G97" s="2" t="s">
        <v>22</v>
      </c>
      <c r="H97" s="3">
        <v>8451</v>
      </c>
      <c r="I97" s="4">
        <v>25</v>
      </c>
      <c r="J97" s="5">
        <v>4.6399999999999997</v>
      </c>
      <c r="K97" s="4">
        <v>80</v>
      </c>
      <c r="L97" s="3">
        <f t="shared" si="3"/>
        <v>1690.1999999999996</v>
      </c>
      <c r="M97" s="3">
        <f t="shared" si="4"/>
        <v>38.117979512570116</v>
      </c>
      <c r="N97" s="3">
        <v>94.8</v>
      </c>
      <c r="O97" s="5">
        <f t="shared" si="5"/>
        <v>40.20883914828071</v>
      </c>
      <c r="P97" s="2" t="s">
        <v>69</v>
      </c>
    </row>
    <row r="98" spans="1:16" x14ac:dyDescent="0.2">
      <c r="A98" s="2" t="s">
        <v>259</v>
      </c>
      <c r="B98" s="2" t="s">
        <v>260</v>
      </c>
      <c r="C98" s="2" t="s">
        <v>62</v>
      </c>
      <c r="D98" s="2" t="s">
        <v>63</v>
      </c>
      <c r="E98" s="2" t="s">
        <v>68</v>
      </c>
      <c r="F98" s="2" t="s">
        <v>28</v>
      </c>
      <c r="G98" s="2" t="s">
        <v>22</v>
      </c>
      <c r="H98" s="3">
        <v>5396</v>
      </c>
      <c r="I98" s="4">
        <v>20</v>
      </c>
      <c r="J98" s="5">
        <v>4.83</v>
      </c>
      <c r="K98" s="4">
        <v>80</v>
      </c>
      <c r="L98" s="3">
        <f t="shared" si="3"/>
        <v>1079.1999999999998</v>
      </c>
      <c r="M98" s="3">
        <f t="shared" si="4"/>
        <v>28.085135378885816</v>
      </c>
      <c r="N98" s="3">
        <v>73</v>
      </c>
      <c r="O98" s="5">
        <f t="shared" si="5"/>
        <v>38.472788190254541</v>
      </c>
      <c r="P98" s="2" t="s">
        <v>69</v>
      </c>
    </row>
    <row r="99" spans="1:16" x14ac:dyDescent="0.2">
      <c r="A99" s="2" t="s">
        <v>261</v>
      </c>
      <c r="B99" s="2" t="s">
        <v>262</v>
      </c>
      <c r="C99" s="2" t="s">
        <v>119</v>
      </c>
      <c r="D99" s="2" t="s">
        <v>120</v>
      </c>
      <c r="E99" s="2" t="s">
        <v>156</v>
      </c>
      <c r="F99" s="2" t="s">
        <v>28</v>
      </c>
      <c r="G99" s="2" t="s">
        <v>22</v>
      </c>
      <c r="H99" s="3">
        <v>17700</v>
      </c>
      <c r="I99" s="4">
        <v>15</v>
      </c>
      <c r="J99" s="5">
        <v>4.3099999999999996</v>
      </c>
      <c r="K99" s="4">
        <v>70</v>
      </c>
      <c r="L99" s="3">
        <f t="shared" si="3"/>
        <v>5310.0000000000009</v>
      </c>
      <c r="M99" s="3">
        <f t="shared" si="4"/>
        <v>93.583982079156627</v>
      </c>
      <c r="N99" s="3">
        <v>241.5</v>
      </c>
      <c r="O99" s="5">
        <f t="shared" si="5"/>
        <v>38.75113129571703</v>
      </c>
      <c r="P99" s="2" t="s">
        <v>36</v>
      </c>
    </row>
    <row r="100" spans="1:16" x14ac:dyDescent="0.2">
      <c r="A100" s="2" t="s">
        <v>263</v>
      </c>
      <c r="B100" s="2" t="s">
        <v>264</v>
      </c>
      <c r="C100" s="2" t="s">
        <v>84</v>
      </c>
      <c r="D100" s="2" t="s">
        <v>85</v>
      </c>
      <c r="E100" s="2" t="s">
        <v>49</v>
      </c>
      <c r="F100" s="2" t="s">
        <v>34</v>
      </c>
      <c r="G100" s="2" t="s">
        <v>22</v>
      </c>
      <c r="H100" s="3">
        <v>3096</v>
      </c>
      <c r="I100" s="4">
        <v>15</v>
      </c>
      <c r="J100" s="5">
        <v>5.35</v>
      </c>
      <c r="K100" s="4">
        <v>85</v>
      </c>
      <c r="L100" s="3">
        <f t="shared" si="3"/>
        <v>464.40000000000009</v>
      </c>
      <c r="M100" s="3">
        <f t="shared" si="4"/>
        <v>21.293471789674971</v>
      </c>
      <c r="N100" s="3">
        <v>50.7</v>
      </c>
      <c r="O100" s="5">
        <f t="shared" si="5"/>
        <v>41.99895816503939</v>
      </c>
      <c r="P100" s="2" t="s">
        <v>36</v>
      </c>
    </row>
    <row r="101" spans="1:16" x14ac:dyDescent="0.2">
      <c r="A101" s="2" t="s">
        <v>265</v>
      </c>
      <c r="B101" s="2" t="s">
        <v>162</v>
      </c>
      <c r="C101" s="2" t="s">
        <v>18</v>
      </c>
      <c r="D101" s="2" t="s">
        <v>19</v>
      </c>
      <c r="E101" s="2" t="s">
        <v>58</v>
      </c>
      <c r="F101" s="2" t="s">
        <v>21</v>
      </c>
      <c r="G101" s="2" t="s">
        <v>44</v>
      </c>
      <c r="H101" s="3">
        <v>7125</v>
      </c>
      <c r="I101" s="4">
        <v>20</v>
      </c>
      <c r="J101" s="5">
        <v>4.1399999999999997</v>
      </c>
      <c r="K101" s="4">
        <v>80</v>
      </c>
      <c r="L101" s="3">
        <f t="shared" si="3"/>
        <v>1424.9999999999998</v>
      </c>
      <c r="M101" s="3">
        <f t="shared" si="4"/>
        <v>34.962817278809709</v>
      </c>
      <c r="N101" s="3">
        <v>110.5</v>
      </c>
      <c r="O101" s="5">
        <f t="shared" si="5"/>
        <v>31.640558623357201</v>
      </c>
      <c r="P101" s="2" t="s">
        <v>23</v>
      </c>
    </row>
    <row r="102" spans="1:16" x14ac:dyDescent="0.2">
      <c r="A102" s="2" t="s">
        <v>266</v>
      </c>
      <c r="B102" s="2" t="s">
        <v>267</v>
      </c>
      <c r="C102" s="2" t="s">
        <v>18</v>
      </c>
      <c r="D102" s="2" t="s">
        <v>19</v>
      </c>
      <c r="E102" s="2" t="s">
        <v>64</v>
      </c>
      <c r="F102" s="2" t="s">
        <v>59</v>
      </c>
      <c r="G102" s="2" t="s">
        <v>98</v>
      </c>
      <c r="H102" s="3">
        <v>3004</v>
      </c>
      <c r="I102" s="4">
        <v>30</v>
      </c>
      <c r="J102" s="5">
        <v>4.78</v>
      </c>
      <c r="K102" s="4">
        <v>70</v>
      </c>
      <c r="L102" s="3">
        <f t="shared" si="3"/>
        <v>901.20000000000016</v>
      </c>
      <c r="M102" s="3">
        <f t="shared" si="4"/>
        <v>11.007256541697664</v>
      </c>
      <c r="N102" s="3">
        <v>41.3</v>
      </c>
      <c r="O102" s="5">
        <f t="shared" si="5"/>
        <v>26.6519528854665</v>
      </c>
      <c r="P102" s="2" t="s">
        <v>23</v>
      </c>
    </row>
    <row r="103" spans="1:16" x14ac:dyDescent="0.2">
      <c r="A103" s="2" t="s">
        <v>268</v>
      </c>
      <c r="B103" s="2" t="s">
        <v>269</v>
      </c>
      <c r="C103" s="2" t="s">
        <v>72</v>
      </c>
      <c r="D103" s="2" t="s">
        <v>73</v>
      </c>
      <c r="E103" s="2" t="s">
        <v>177</v>
      </c>
      <c r="F103" s="2" t="s">
        <v>28</v>
      </c>
      <c r="G103" s="2" t="s">
        <v>22</v>
      </c>
      <c r="H103" s="3">
        <v>8226</v>
      </c>
      <c r="I103" s="4">
        <v>25</v>
      </c>
      <c r="J103" s="5">
        <v>5.12</v>
      </c>
      <c r="K103" s="4">
        <v>80</v>
      </c>
      <c r="L103" s="3">
        <f t="shared" si="3"/>
        <v>1645.1999999999996</v>
      </c>
      <c r="M103" s="3">
        <f t="shared" si="4"/>
        <v>38.932197960860314</v>
      </c>
      <c r="N103" s="3">
        <v>98.5</v>
      </c>
      <c r="O103" s="5">
        <f t="shared" si="5"/>
        <v>39.5250740719394</v>
      </c>
      <c r="P103" s="2" t="s">
        <v>69</v>
      </c>
    </row>
    <row r="104" spans="1:16" x14ac:dyDescent="0.2">
      <c r="A104" s="2" t="s">
        <v>270</v>
      </c>
      <c r="B104" s="2" t="s">
        <v>204</v>
      </c>
      <c r="C104" s="2" t="s">
        <v>18</v>
      </c>
      <c r="D104" s="2" t="s">
        <v>19</v>
      </c>
      <c r="E104" s="2" t="s">
        <v>114</v>
      </c>
      <c r="F104" s="2" t="s">
        <v>28</v>
      </c>
      <c r="G104" s="2" t="s">
        <v>98</v>
      </c>
      <c r="H104" s="3">
        <v>11441</v>
      </c>
      <c r="I104" s="4">
        <v>30</v>
      </c>
      <c r="J104" s="5">
        <v>4.4800000000000004</v>
      </c>
      <c r="K104" s="4">
        <v>90</v>
      </c>
      <c r="L104" s="3">
        <f t="shared" si="3"/>
        <v>1144.0999999999997</v>
      </c>
      <c r="M104" s="3">
        <f t="shared" si="4"/>
        <v>52.050587361168724</v>
      </c>
      <c r="N104" s="3">
        <v>131.4</v>
      </c>
      <c r="O104" s="5">
        <f t="shared" si="5"/>
        <v>39.612319148530226</v>
      </c>
      <c r="P104" s="2" t="s">
        <v>36</v>
      </c>
    </row>
    <row r="105" spans="1:16" x14ac:dyDescent="0.2">
      <c r="A105" s="2" t="s">
        <v>271</v>
      </c>
      <c r="B105" s="2" t="s">
        <v>272</v>
      </c>
      <c r="C105" s="2" t="s">
        <v>62</v>
      </c>
      <c r="D105" s="2" t="s">
        <v>63</v>
      </c>
      <c r="E105" s="2" t="s">
        <v>68</v>
      </c>
      <c r="F105" s="2" t="s">
        <v>28</v>
      </c>
      <c r="G105" s="2" t="s">
        <v>35</v>
      </c>
      <c r="H105" s="3">
        <v>6766</v>
      </c>
      <c r="I105" s="4">
        <v>30</v>
      </c>
      <c r="J105" s="5">
        <v>5.07</v>
      </c>
      <c r="K105" s="4">
        <v>80</v>
      </c>
      <c r="L105" s="3">
        <f t="shared" si="3"/>
        <v>1353.1999999999996</v>
      </c>
      <c r="M105" s="3">
        <f t="shared" si="4"/>
        <v>29.289085948174609</v>
      </c>
      <c r="N105" s="3">
        <v>100.3</v>
      </c>
      <c r="O105" s="5">
        <f t="shared" si="5"/>
        <v>29.201481503663619</v>
      </c>
      <c r="P105" s="2" t="s">
        <v>69</v>
      </c>
    </row>
    <row r="106" spans="1:16" x14ac:dyDescent="0.2">
      <c r="A106" s="2" t="s">
        <v>273</v>
      </c>
      <c r="B106" s="2" t="s">
        <v>274</v>
      </c>
      <c r="C106" s="2" t="s">
        <v>131</v>
      </c>
      <c r="D106" s="2" t="s">
        <v>27</v>
      </c>
      <c r="E106" s="2" t="s">
        <v>107</v>
      </c>
      <c r="F106" s="2" t="s">
        <v>21</v>
      </c>
      <c r="G106" s="2" t="s">
        <v>35</v>
      </c>
      <c r="H106" s="3">
        <v>10201</v>
      </c>
      <c r="I106" s="4">
        <v>20</v>
      </c>
      <c r="J106" s="5">
        <v>4.6900000000000004</v>
      </c>
      <c r="K106" s="4">
        <v>90</v>
      </c>
      <c r="L106" s="3">
        <f t="shared" si="3"/>
        <v>1020.0999999999998</v>
      </c>
      <c r="M106" s="3">
        <f t="shared" si="4"/>
        <v>59.028720823645564</v>
      </c>
      <c r="N106" s="3">
        <v>113.6</v>
      </c>
      <c r="O106" s="5">
        <f t="shared" si="5"/>
        <v>51.96190213349081</v>
      </c>
      <c r="P106" s="2" t="s">
        <v>23</v>
      </c>
    </row>
    <row r="107" spans="1:16" x14ac:dyDescent="0.2">
      <c r="A107" s="2" t="s">
        <v>275</v>
      </c>
      <c r="B107" s="2" t="s">
        <v>164</v>
      </c>
      <c r="C107" s="2" t="s">
        <v>100</v>
      </c>
      <c r="D107" s="2" t="s">
        <v>32</v>
      </c>
      <c r="E107" s="2" t="s">
        <v>107</v>
      </c>
      <c r="F107" s="2" t="s">
        <v>21</v>
      </c>
      <c r="G107" s="2" t="s">
        <v>35</v>
      </c>
      <c r="H107" s="3">
        <v>17219</v>
      </c>
      <c r="I107" s="4">
        <v>20</v>
      </c>
      <c r="J107" s="5">
        <v>4.1100000000000003</v>
      </c>
      <c r="K107" s="4">
        <v>80</v>
      </c>
      <c r="L107" s="3">
        <f t="shared" si="3"/>
        <v>3443.7999999999993</v>
      </c>
      <c r="M107" s="3">
        <f t="shared" si="4"/>
        <v>84.275606820557755</v>
      </c>
      <c r="N107" s="3">
        <v>265.39999999999998</v>
      </c>
      <c r="O107" s="5">
        <f t="shared" si="5"/>
        <v>31.754184936155898</v>
      </c>
      <c r="P107" s="2" t="s">
        <v>29</v>
      </c>
    </row>
    <row r="108" spans="1:16" x14ac:dyDescent="0.2">
      <c r="A108" s="2" t="s">
        <v>276</v>
      </c>
      <c r="B108" s="2" t="s">
        <v>277</v>
      </c>
      <c r="C108" s="2" t="s">
        <v>67</v>
      </c>
      <c r="D108" s="2" t="s">
        <v>67</v>
      </c>
      <c r="E108" s="2" t="s">
        <v>114</v>
      </c>
      <c r="F108" s="2" t="s">
        <v>28</v>
      </c>
      <c r="G108" s="2" t="s">
        <v>35</v>
      </c>
      <c r="H108" s="3">
        <v>8199</v>
      </c>
      <c r="I108" s="4">
        <v>25</v>
      </c>
      <c r="J108" s="5">
        <v>5.0599999999999996</v>
      </c>
      <c r="K108" s="4">
        <v>80</v>
      </c>
      <c r="L108" s="3">
        <f t="shared" si="3"/>
        <v>1639.7999999999997</v>
      </c>
      <c r="M108" s="3">
        <f t="shared" si="4"/>
        <v>38.574072699002166</v>
      </c>
      <c r="N108" s="3">
        <v>117</v>
      </c>
      <c r="O108" s="5">
        <f t="shared" si="5"/>
        <v>32.969292905130054</v>
      </c>
      <c r="P108" s="2" t="s">
        <v>29</v>
      </c>
    </row>
    <row r="109" spans="1:16" x14ac:dyDescent="0.2">
      <c r="A109" s="2" t="s">
        <v>278</v>
      </c>
      <c r="B109" s="2" t="s">
        <v>279</v>
      </c>
      <c r="C109" s="2" t="s">
        <v>84</v>
      </c>
      <c r="D109" s="2" t="s">
        <v>85</v>
      </c>
      <c r="E109" s="2" t="s">
        <v>156</v>
      </c>
      <c r="F109" s="2" t="s">
        <v>21</v>
      </c>
      <c r="G109" s="2" t="s">
        <v>35</v>
      </c>
      <c r="H109" s="3">
        <v>10895</v>
      </c>
      <c r="I109" s="4">
        <v>20</v>
      </c>
      <c r="J109" s="5">
        <v>3.93</v>
      </c>
      <c r="K109" s="4">
        <v>80</v>
      </c>
      <c r="L109" s="3">
        <f t="shared" si="3"/>
        <v>2178.9999999999995</v>
      </c>
      <c r="M109" s="3">
        <f t="shared" si="4"/>
        <v>52.496308167948882</v>
      </c>
      <c r="N109" s="3">
        <v>154.6</v>
      </c>
      <c r="O109" s="5">
        <f t="shared" si="5"/>
        <v>33.956214856370558</v>
      </c>
      <c r="P109" s="2" t="s">
        <v>36</v>
      </c>
    </row>
    <row r="110" spans="1:16" x14ac:dyDescent="0.2">
      <c r="A110" s="2" t="s">
        <v>280</v>
      </c>
      <c r="B110" s="2" t="s">
        <v>281</v>
      </c>
      <c r="C110" s="2" t="s">
        <v>72</v>
      </c>
      <c r="D110" s="2" t="s">
        <v>73</v>
      </c>
      <c r="E110" s="2" t="s">
        <v>64</v>
      </c>
      <c r="F110" s="2" t="s">
        <v>59</v>
      </c>
      <c r="G110" s="2" t="s">
        <v>44</v>
      </c>
      <c r="H110" s="3">
        <v>2226</v>
      </c>
      <c r="I110" s="4">
        <v>15</v>
      </c>
      <c r="J110" s="5">
        <v>5.54</v>
      </c>
      <c r="K110" s="4">
        <v>80</v>
      </c>
      <c r="L110" s="3">
        <f t="shared" si="3"/>
        <v>445.19999999999987</v>
      </c>
      <c r="M110" s="3">
        <f t="shared" si="4"/>
        <v>14.588449151719635</v>
      </c>
      <c r="N110" s="3">
        <v>29.1</v>
      </c>
      <c r="O110" s="5">
        <f t="shared" si="5"/>
        <v>50.132127669139635</v>
      </c>
      <c r="P110" s="2" t="s">
        <v>36</v>
      </c>
    </row>
    <row r="111" spans="1:16" x14ac:dyDescent="0.2">
      <c r="A111" s="2" t="s">
        <v>282</v>
      </c>
      <c r="B111" s="2" t="s">
        <v>31</v>
      </c>
      <c r="C111" s="2" t="s">
        <v>67</v>
      </c>
      <c r="D111" s="2" t="s">
        <v>67</v>
      </c>
      <c r="E111" s="2" t="s">
        <v>33</v>
      </c>
      <c r="F111" s="2" t="s">
        <v>59</v>
      </c>
      <c r="G111" s="2" t="s">
        <v>35</v>
      </c>
      <c r="H111" s="3">
        <v>16589</v>
      </c>
      <c r="I111" s="4">
        <v>30</v>
      </c>
      <c r="J111" s="5">
        <v>4.3899999999999997</v>
      </c>
      <c r="K111" s="4">
        <v>75</v>
      </c>
      <c r="L111" s="3">
        <f t="shared" si="3"/>
        <v>4147.25</v>
      </c>
      <c r="M111" s="3">
        <f t="shared" si="4"/>
        <v>62.229949123368129</v>
      </c>
      <c r="N111" s="3">
        <v>260.3</v>
      </c>
      <c r="O111" s="5">
        <f t="shared" si="5"/>
        <v>23.907010804213648</v>
      </c>
      <c r="P111" s="2" t="s">
        <v>36</v>
      </c>
    </row>
    <row r="112" spans="1:16" x14ac:dyDescent="0.2">
      <c r="A112" s="2" t="s">
        <v>283</v>
      </c>
      <c r="B112" s="2" t="s">
        <v>284</v>
      </c>
      <c r="C112" s="2" t="s">
        <v>100</v>
      </c>
      <c r="D112" s="2" t="s">
        <v>32</v>
      </c>
      <c r="E112" s="2" t="s">
        <v>81</v>
      </c>
      <c r="F112" s="2" t="s">
        <v>34</v>
      </c>
      <c r="G112" s="2" t="s">
        <v>44</v>
      </c>
      <c r="H112" s="3">
        <v>3202</v>
      </c>
      <c r="I112" s="4">
        <v>25</v>
      </c>
      <c r="J112" s="5">
        <v>4.92</v>
      </c>
      <c r="K112" s="4">
        <v>85</v>
      </c>
      <c r="L112" s="3">
        <f t="shared" si="3"/>
        <v>480.30000000000007</v>
      </c>
      <c r="M112" s="3">
        <f t="shared" si="4"/>
        <v>15.784186714310101</v>
      </c>
      <c r="N112" s="3">
        <v>40.200000000000003</v>
      </c>
      <c r="O112" s="5">
        <f t="shared" si="5"/>
        <v>39.264146055497761</v>
      </c>
      <c r="P112" s="2" t="s">
        <v>36</v>
      </c>
    </row>
    <row r="113" spans="1:16" x14ac:dyDescent="0.2">
      <c r="A113" s="2" t="s">
        <v>285</v>
      </c>
      <c r="B113" s="2" t="s">
        <v>286</v>
      </c>
      <c r="C113" s="2" t="s">
        <v>18</v>
      </c>
      <c r="D113" s="2" t="s">
        <v>19</v>
      </c>
      <c r="E113" s="2" t="s">
        <v>41</v>
      </c>
      <c r="F113" s="2" t="s">
        <v>28</v>
      </c>
      <c r="G113" s="2" t="s">
        <v>22</v>
      </c>
      <c r="H113" s="3">
        <v>16479</v>
      </c>
      <c r="I113" s="4">
        <v>30</v>
      </c>
      <c r="J113" s="5">
        <v>5.41</v>
      </c>
      <c r="K113" s="4">
        <v>80</v>
      </c>
      <c r="L113" s="3">
        <f t="shared" si="3"/>
        <v>3295.7999999999993</v>
      </c>
      <c r="M113" s="3">
        <f t="shared" si="4"/>
        <v>74.11004097838557</v>
      </c>
      <c r="N113" s="3">
        <v>183.1</v>
      </c>
      <c r="O113" s="5">
        <f t="shared" si="5"/>
        <v>40.475172571483107</v>
      </c>
      <c r="P113" s="2" t="s">
        <v>36</v>
      </c>
    </row>
    <row r="114" spans="1:16" x14ac:dyDescent="0.2">
      <c r="A114" s="2" t="s">
        <v>287</v>
      </c>
      <c r="B114" s="2" t="s">
        <v>288</v>
      </c>
      <c r="C114" s="2" t="s">
        <v>53</v>
      </c>
      <c r="D114" s="2" t="s">
        <v>19</v>
      </c>
      <c r="E114" s="2" t="s">
        <v>58</v>
      </c>
      <c r="F114" s="2" t="s">
        <v>21</v>
      </c>
      <c r="G114" s="2" t="s">
        <v>22</v>
      </c>
      <c r="H114" s="3">
        <v>13981</v>
      </c>
      <c r="I114" s="4">
        <v>30</v>
      </c>
      <c r="J114" s="5">
        <v>4.45</v>
      </c>
      <c r="K114" s="4">
        <v>80</v>
      </c>
      <c r="L114" s="3">
        <f t="shared" si="3"/>
        <v>2796.1999999999994</v>
      </c>
      <c r="M114" s="3">
        <f t="shared" si="4"/>
        <v>56.339935930527183</v>
      </c>
      <c r="N114" s="3">
        <v>180.9</v>
      </c>
      <c r="O114" s="5">
        <f t="shared" si="5"/>
        <v>31.14424318989894</v>
      </c>
      <c r="P114" s="2" t="s">
        <v>36</v>
      </c>
    </row>
    <row r="115" spans="1:16" x14ac:dyDescent="0.2">
      <c r="A115" s="2" t="s">
        <v>289</v>
      </c>
      <c r="B115" s="2" t="s">
        <v>290</v>
      </c>
      <c r="C115" s="2" t="s">
        <v>146</v>
      </c>
      <c r="D115" s="2" t="s">
        <v>19</v>
      </c>
      <c r="E115" s="2" t="s">
        <v>33</v>
      </c>
      <c r="F115" s="2" t="s">
        <v>50</v>
      </c>
      <c r="G115" s="2" t="s">
        <v>35</v>
      </c>
      <c r="H115" s="3">
        <v>12053</v>
      </c>
      <c r="I115" s="4">
        <v>25</v>
      </c>
      <c r="J115" s="5">
        <v>4.21</v>
      </c>
      <c r="K115" s="4">
        <v>80</v>
      </c>
      <c r="L115" s="3">
        <f t="shared" si="3"/>
        <v>2410.5999999999995</v>
      </c>
      <c r="M115" s="3">
        <f t="shared" si="4"/>
        <v>52.020830490634687</v>
      </c>
      <c r="N115" s="3">
        <v>144.1</v>
      </c>
      <c r="O115" s="5">
        <f t="shared" si="5"/>
        <v>36.100506933126084</v>
      </c>
      <c r="P115" s="2" t="s">
        <v>23</v>
      </c>
    </row>
    <row r="116" spans="1:16" x14ac:dyDescent="0.2">
      <c r="A116" s="2" t="s">
        <v>291</v>
      </c>
      <c r="B116" s="2" t="s">
        <v>292</v>
      </c>
      <c r="C116" s="2" t="s">
        <v>47</v>
      </c>
      <c r="D116" s="2" t="s">
        <v>48</v>
      </c>
      <c r="E116" s="2" t="s">
        <v>114</v>
      </c>
      <c r="F116" s="2" t="s">
        <v>59</v>
      </c>
      <c r="G116" s="2" t="s">
        <v>44</v>
      </c>
      <c r="H116" s="3">
        <v>11987</v>
      </c>
      <c r="I116" s="4">
        <v>20</v>
      </c>
      <c r="J116" s="5">
        <v>5.39</v>
      </c>
      <c r="K116" s="4">
        <v>80</v>
      </c>
      <c r="L116" s="3">
        <f t="shared" si="3"/>
        <v>2397.3999999999996</v>
      </c>
      <c r="M116" s="3">
        <f t="shared" si="4"/>
        <v>65.371283790494374</v>
      </c>
      <c r="N116" s="3">
        <v>139.19999999999999</v>
      </c>
      <c r="O116" s="5">
        <f t="shared" si="5"/>
        <v>46.962129159837914</v>
      </c>
      <c r="P116" s="2" t="s">
        <v>36</v>
      </c>
    </row>
    <row r="117" spans="1:16" x14ac:dyDescent="0.2">
      <c r="A117" s="2" t="s">
        <v>293</v>
      </c>
      <c r="B117" s="2" t="s">
        <v>61</v>
      </c>
      <c r="C117" s="2" t="s">
        <v>84</v>
      </c>
      <c r="D117" s="2" t="s">
        <v>85</v>
      </c>
      <c r="E117" s="2" t="s">
        <v>114</v>
      </c>
      <c r="F117" s="2" t="s">
        <v>59</v>
      </c>
      <c r="G117" s="2" t="s">
        <v>98</v>
      </c>
      <c r="H117" s="3">
        <v>4892</v>
      </c>
      <c r="I117" s="4">
        <v>20</v>
      </c>
      <c r="J117" s="5">
        <v>5.35</v>
      </c>
      <c r="K117" s="4">
        <v>85</v>
      </c>
      <c r="L117" s="3">
        <f t="shared" si="3"/>
        <v>733.80000000000007</v>
      </c>
      <c r="M117" s="3">
        <f t="shared" si="4"/>
        <v>28.25259669529396</v>
      </c>
      <c r="N117" s="3">
        <v>73.2</v>
      </c>
      <c r="O117" s="5">
        <f t="shared" si="5"/>
        <v>38.596443572805953</v>
      </c>
      <c r="P117" s="2" t="s">
        <v>36</v>
      </c>
    </row>
    <row r="118" spans="1:16" x14ac:dyDescent="0.2">
      <c r="A118" s="2" t="s">
        <v>294</v>
      </c>
      <c r="B118" s="2" t="s">
        <v>87</v>
      </c>
      <c r="C118" s="2" t="s">
        <v>91</v>
      </c>
      <c r="D118" s="2" t="s">
        <v>92</v>
      </c>
      <c r="E118" s="2" t="s">
        <v>33</v>
      </c>
      <c r="F118" s="2" t="s">
        <v>34</v>
      </c>
      <c r="G118" s="2" t="s">
        <v>44</v>
      </c>
      <c r="H118" s="3">
        <v>17458</v>
      </c>
      <c r="I118" s="4">
        <v>30</v>
      </c>
      <c r="J118" s="5">
        <v>5.79</v>
      </c>
      <c r="K118" s="4">
        <v>80</v>
      </c>
      <c r="L118" s="3">
        <f t="shared" si="3"/>
        <v>3491.599999999999</v>
      </c>
      <c r="M118" s="3">
        <f t="shared" si="4"/>
        <v>81.859358565946025</v>
      </c>
      <c r="N118" s="3">
        <v>223.6</v>
      </c>
      <c r="O118" s="5">
        <f t="shared" si="5"/>
        <v>36.609731022337222</v>
      </c>
      <c r="P118" s="2" t="s">
        <v>36</v>
      </c>
    </row>
    <row r="119" spans="1:16" x14ac:dyDescent="0.2">
      <c r="A119" s="2" t="s">
        <v>295</v>
      </c>
      <c r="B119" s="2" t="s">
        <v>296</v>
      </c>
      <c r="C119" s="2" t="s">
        <v>56</v>
      </c>
      <c r="D119" s="2" t="s">
        <v>57</v>
      </c>
      <c r="E119" s="2" t="s">
        <v>177</v>
      </c>
      <c r="F119" s="2" t="s">
        <v>34</v>
      </c>
      <c r="G119" s="2" t="s">
        <v>35</v>
      </c>
      <c r="H119" s="3">
        <v>3032</v>
      </c>
      <c r="I119" s="4">
        <v>25</v>
      </c>
      <c r="J119" s="5">
        <v>4.97</v>
      </c>
      <c r="K119" s="4">
        <v>90</v>
      </c>
      <c r="L119" s="3">
        <f t="shared" si="3"/>
        <v>303.19999999999993</v>
      </c>
      <c r="M119" s="3">
        <f t="shared" si="4"/>
        <v>15.904633322855881</v>
      </c>
      <c r="N119" s="3">
        <v>39.5</v>
      </c>
      <c r="O119" s="5">
        <f t="shared" si="5"/>
        <v>40.264894488242739</v>
      </c>
      <c r="P119" s="2" t="s">
        <v>23</v>
      </c>
    </row>
    <row r="120" spans="1:16" x14ac:dyDescent="0.2">
      <c r="A120" s="2" t="s">
        <v>297</v>
      </c>
      <c r="B120" s="2" t="s">
        <v>298</v>
      </c>
      <c r="C120" s="2" t="s">
        <v>56</v>
      </c>
      <c r="D120" s="2" t="s">
        <v>57</v>
      </c>
      <c r="E120" s="2" t="s">
        <v>20</v>
      </c>
      <c r="F120" s="2" t="s">
        <v>50</v>
      </c>
      <c r="G120" s="2" t="s">
        <v>98</v>
      </c>
      <c r="H120" s="3">
        <v>3970</v>
      </c>
      <c r="I120" s="4">
        <v>25</v>
      </c>
      <c r="J120" s="5">
        <v>4.38</v>
      </c>
      <c r="K120" s="4">
        <v>70</v>
      </c>
      <c r="L120" s="3">
        <f t="shared" si="3"/>
        <v>1191.0000000000002</v>
      </c>
      <c r="M120" s="3">
        <f t="shared" si="4"/>
        <v>15.25791160384048</v>
      </c>
      <c r="N120" s="3">
        <v>56.2</v>
      </c>
      <c r="O120" s="5">
        <f t="shared" si="5"/>
        <v>27.149308903630747</v>
      </c>
      <c r="P120" s="2" t="s">
        <v>29</v>
      </c>
    </row>
    <row r="121" spans="1:16" x14ac:dyDescent="0.2">
      <c r="A121" s="2" t="s">
        <v>299</v>
      </c>
      <c r="B121" s="2" t="s">
        <v>46</v>
      </c>
      <c r="C121" s="2" t="s">
        <v>32</v>
      </c>
      <c r="D121" s="2" t="s">
        <v>32</v>
      </c>
      <c r="E121" s="2" t="s">
        <v>64</v>
      </c>
      <c r="F121" s="2" t="s">
        <v>50</v>
      </c>
      <c r="G121" s="2" t="s">
        <v>35</v>
      </c>
      <c r="H121" s="3">
        <v>9316</v>
      </c>
      <c r="I121" s="4">
        <v>30</v>
      </c>
      <c r="J121" s="5">
        <v>5.03</v>
      </c>
      <c r="K121" s="4">
        <v>80</v>
      </c>
      <c r="L121" s="3">
        <f t="shared" si="3"/>
        <v>1863.1999999999996</v>
      </c>
      <c r="M121" s="3">
        <f t="shared" si="4"/>
        <v>40.144998359603875</v>
      </c>
      <c r="N121" s="3">
        <v>98.4</v>
      </c>
      <c r="O121" s="5">
        <f t="shared" si="5"/>
        <v>40.797762560573041</v>
      </c>
      <c r="P121" s="2" t="s">
        <v>29</v>
      </c>
    </row>
    <row r="122" spans="1:16" x14ac:dyDescent="0.2">
      <c r="A122" s="2" t="s">
        <v>300</v>
      </c>
      <c r="B122" s="2" t="s">
        <v>170</v>
      </c>
      <c r="C122" s="2" t="s">
        <v>26</v>
      </c>
      <c r="D122" s="2" t="s">
        <v>27</v>
      </c>
      <c r="E122" s="2" t="s">
        <v>114</v>
      </c>
      <c r="F122" s="2" t="s">
        <v>59</v>
      </c>
      <c r="G122" s="2" t="s">
        <v>22</v>
      </c>
      <c r="H122" s="3">
        <v>16633</v>
      </c>
      <c r="I122" s="4">
        <v>20</v>
      </c>
      <c r="J122" s="5">
        <v>4.41</v>
      </c>
      <c r="K122" s="4">
        <v>80</v>
      </c>
      <c r="L122" s="3">
        <f t="shared" si="3"/>
        <v>3326.5999999999995</v>
      </c>
      <c r="M122" s="3">
        <f t="shared" si="4"/>
        <v>83.537789114892846</v>
      </c>
      <c r="N122" s="3">
        <v>183.6</v>
      </c>
      <c r="O122" s="5">
        <f t="shared" si="5"/>
        <v>45.499885138830528</v>
      </c>
      <c r="P122" s="2" t="s">
        <v>36</v>
      </c>
    </row>
    <row r="123" spans="1:16" x14ac:dyDescent="0.2">
      <c r="A123" s="2" t="s">
        <v>301</v>
      </c>
      <c r="B123" s="2" t="s">
        <v>302</v>
      </c>
      <c r="C123" s="2" t="s">
        <v>39</v>
      </c>
      <c r="D123" s="2" t="s">
        <v>40</v>
      </c>
      <c r="E123" s="2" t="s">
        <v>64</v>
      </c>
      <c r="F123" s="2" t="s">
        <v>59</v>
      </c>
      <c r="G123" s="2" t="s">
        <v>22</v>
      </c>
      <c r="H123" s="3">
        <v>9400</v>
      </c>
      <c r="I123" s="4">
        <v>20</v>
      </c>
      <c r="J123" s="5">
        <v>4.47</v>
      </c>
      <c r="K123" s="4">
        <v>85</v>
      </c>
      <c r="L123" s="3">
        <f t="shared" si="3"/>
        <v>1410.0000000000002</v>
      </c>
      <c r="M123" s="3">
        <f t="shared" si="4"/>
        <v>50.419388514064288</v>
      </c>
      <c r="N123" s="3">
        <v>102.8</v>
      </c>
      <c r="O123" s="5">
        <f t="shared" si="5"/>
        <v>49.04609777632713</v>
      </c>
      <c r="P123" s="2" t="s">
        <v>36</v>
      </c>
    </row>
    <row r="124" spans="1:16" x14ac:dyDescent="0.2">
      <c r="A124" s="2" t="s">
        <v>303</v>
      </c>
      <c r="B124" s="2" t="s">
        <v>87</v>
      </c>
      <c r="C124" s="2" t="s">
        <v>39</v>
      </c>
      <c r="D124" s="2" t="s">
        <v>40</v>
      </c>
      <c r="E124" s="2" t="s">
        <v>88</v>
      </c>
      <c r="F124" s="2" t="s">
        <v>50</v>
      </c>
      <c r="G124" s="2" t="s">
        <v>98</v>
      </c>
      <c r="H124" s="3">
        <v>16963</v>
      </c>
      <c r="I124" s="4">
        <v>15</v>
      </c>
      <c r="J124" s="5">
        <v>3.96</v>
      </c>
      <c r="K124" s="4">
        <v>80</v>
      </c>
      <c r="L124" s="3">
        <f t="shared" si="3"/>
        <v>3392.5999999999995</v>
      </c>
      <c r="M124" s="3">
        <f t="shared" si="4"/>
        <v>100.10680968325748</v>
      </c>
      <c r="N124" s="3">
        <v>268.89999999999998</v>
      </c>
      <c r="O124" s="5">
        <f t="shared" si="5"/>
        <v>37.228266895967828</v>
      </c>
      <c r="P124" s="2" t="s">
        <v>36</v>
      </c>
    </row>
    <row r="125" spans="1:16" x14ac:dyDescent="0.2">
      <c r="A125" s="2" t="s">
        <v>304</v>
      </c>
      <c r="B125" s="2" t="s">
        <v>305</v>
      </c>
      <c r="C125" s="2" t="s">
        <v>131</v>
      </c>
      <c r="D125" s="2" t="s">
        <v>27</v>
      </c>
      <c r="E125" s="2" t="s">
        <v>20</v>
      </c>
      <c r="F125" s="2" t="s">
        <v>59</v>
      </c>
      <c r="G125" s="2" t="s">
        <v>35</v>
      </c>
      <c r="H125" s="3">
        <v>10420</v>
      </c>
      <c r="I125" s="4">
        <v>25</v>
      </c>
      <c r="J125" s="5">
        <v>4.32</v>
      </c>
      <c r="K125" s="4">
        <v>80</v>
      </c>
      <c r="L125" s="3">
        <f t="shared" si="3"/>
        <v>2083.9999999999995</v>
      </c>
      <c r="M125" s="3">
        <f t="shared" si="4"/>
        <v>45.486648633427336</v>
      </c>
      <c r="N125" s="3">
        <v>117.5</v>
      </c>
      <c r="O125" s="5">
        <f t="shared" si="5"/>
        <v>38.712041390150922</v>
      </c>
      <c r="P125" s="2" t="s">
        <v>23</v>
      </c>
    </row>
    <row r="126" spans="1:16" x14ac:dyDescent="0.2">
      <c r="A126" s="2" t="s">
        <v>306</v>
      </c>
      <c r="B126" s="2" t="s">
        <v>307</v>
      </c>
      <c r="C126" s="2" t="s">
        <v>84</v>
      </c>
      <c r="D126" s="2" t="s">
        <v>85</v>
      </c>
      <c r="E126" s="2" t="s">
        <v>41</v>
      </c>
      <c r="F126" s="2" t="s">
        <v>34</v>
      </c>
      <c r="G126" s="2" t="s">
        <v>35</v>
      </c>
      <c r="H126" s="3">
        <v>4831</v>
      </c>
      <c r="I126" s="4">
        <v>20</v>
      </c>
      <c r="J126" s="5">
        <v>4.95</v>
      </c>
      <c r="K126" s="4">
        <v>80</v>
      </c>
      <c r="L126" s="3">
        <f t="shared" si="3"/>
        <v>966.19999999999982</v>
      </c>
      <c r="M126" s="3">
        <f t="shared" si="4"/>
        <v>25.399340435403985</v>
      </c>
      <c r="N126" s="3">
        <v>70.2</v>
      </c>
      <c r="O126" s="5">
        <f t="shared" si="5"/>
        <v>36.18139663162961</v>
      </c>
      <c r="P126" s="2" t="s">
        <v>36</v>
      </c>
    </row>
    <row r="127" spans="1:16" x14ac:dyDescent="0.2">
      <c r="A127" s="2" t="s">
        <v>308</v>
      </c>
      <c r="B127" s="2" t="s">
        <v>309</v>
      </c>
      <c r="C127" s="2" t="s">
        <v>77</v>
      </c>
      <c r="D127" s="2" t="s">
        <v>19</v>
      </c>
      <c r="E127" s="2" t="s">
        <v>156</v>
      </c>
      <c r="F127" s="2" t="s">
        <v>28</v>
      </c>
      <c r="G127" s="2" t="s">
        <v>22</v>
      </c>
      <c r="H127" s="3">
        <v>9295</v>
      </c>
      <c r="I127" s="4">
        <v>30</v>
      </c>
      <c r="J127" s="5">
        <v>5.15</v>
      </c>
      <c r="K127" s="4">
        <v>80</v>
      </c>
      <c r="L127" s="3">
        <f t="shared" si="3"/>
        <v>1858.9999999999995</v>
      </c>
      <c r="M127" s="3">
        <f t="shared" si="4"/>
        <v>40.602510151901264</v>
      </c>
      <c r="N127" s="3">
        <v>155.4</v>
      </c>
      <c r="O127" s="5">
        <f t="shared" si="5"/>
        <v>26.127741410489875</v>
      </c>
      <c r="P127" s="2" t="s">
        <v>36</v>
      </c>
    </row>
    <row r="128" spans="1:16" x14ac:dyDescent="0.2">
      <c r="A128" s="2" t="s">
        <v>310</v>
      </c>
      <c r="B128" s="2" t="s">
        <v>242</v>
      </c>
      <c r="C128" s="2" t="s">
        <v>131</v>
      </c>
      <c r="D128" s="2" t="s">
        <v>27</v>
      </c>
      <c r="E128" s="2" t="s">
        <v>74</v>
      </c>
      <c r="F128" s="2" t="s">
        <v>59</v>
      </c>
      <c r="G128" s="2" t="s">
        <v>98</v>
      </c>
      <c r="H128" s="3">
        <v>12148</v>
      </c>
      <c r="I128" s="4">
        <v>20</v>
      </c>
      <c r="J128" s="5">
        <v>5.77</v>
      </c>
      <c r="K128" s="4">
        <v>80</v>
      </c>
      <c r="L128" s="3">
        <f t="shared" si="3"/>
        <v>2429.5999999999995</v>
      </c>
      <c r="M128" s="3">
        <f t="shared" si="4"/>
        <v>68.342292764350631</v>
      </c>
      <c r="N128" s="3">
        <v>130.30000000000001</v>
      </c>
      <c r="O128" s="5">
        <f t="shared" si="5"/>
        <v>52.449956073945224</v>
      </c>
      <c r="P128" s="2" t="s">
        <v>36</v>
      </c>
    </row>
    <row r="129" spans="1:16" x14ac:dyDescent="0.2">
      <c r="A129" s="2" t="s">
        <v>311</v>
      </c>
      <c r="B129" s="2" t="s">
        <v>312</v>
      </c>
      <c r="C129" s="2" t="s">
        <v>146</v>
      </c>
      <c r="D129" s="2" t="s">
        <v>19</v>
      </c>
      <c r="E129" s="2" t="s">
        <v>81</v>
      </c>
      <c r="F129" s="2" t="s">
        <v>59</v>
      </c>
      <c r="G129" s="2" t="s">
        <v>35</v>
      </c>
      <c r="H129" s="3">
        <v>4349</v>
      </c>
      <c r="I129" s="4">
        <v>30</v>
      </c>
      <c r="J129" s="5">
        <v>5.7</v>
      </c>
      <c r="K129" s="4">
        <v>75</v>
      </c>
      <c r="L129" s="3">
        <f t="shared" si="3"/>
        <v>1087.25</v>
      </c>
      <c r="M129" s="3">
        <f t="shared" si="4"/>
        <v>18.931210946132246</v>
      </c>
      <c r="N129" s="3">
        <v>49.7</v>
      </c>
      <c r="O129" s="5">
        <f t="shared" si="5"/>
        <v>38.090967698455216</v>
      </c>
      <c r="P129" s="2" t="s">
        <v>36</v>
      </c>
    </row>
    <row r="130" spans="1:16" x14ac:dyDescent="0.2">
      <c r="A130" s="2" t="s">
        <v>313</v>
      </c>
      <c r="B130" s="2" t="s">
        <v>290</v>
      </c>
      <c r="C130" s="2" t="s">
        <v>39</v>
      </c>
      <c r="D130" s="2" t="s">
        <v>40</v>
      </c>
      <c r="E130" s="2" t="s">
        <v>107</v>
      </c>
      <c r="F130" s="2" t="s">
        <v>59</v>
      </c>
      <c r="G130" s="2" t="s">
        <v>44</v>
      </c>
      <c r="H130" s="3">
        <v>10677</v>
      </c>
      <c r="I130" s="4">
        <v>20</v>
      </c>
      <c r="J130" s="5">
        <v>4.07</v>
      </c>
      <c r="K130" s="4">
        <v>80</v>
      </c>
      <c r="L130" s="3">
        <f t="shared" ref="L130:L193" si="6">H130*(1-K130/100)</f>
        <v>2135.3999999999996</v>
      </c>
      <c r="M130" s="3">
        <f t="shared" ref="M130:M193" si="7">PMT(J130/100/12, I130*12, -(H130*K130/100))</f>
        <v>52.076017175247586</v>
      </c>
      <c r="N130" s="3">
        <v>120</v>
      </c>
      <c r="O130" s="5">
        <f t="shared" ref="O130:O193" si="8">IFERROR(M130/N130*100,0)</f>
        <v>43.396680979372988</v>
      </c>
      <c r="P130" s="2" t="s">
        <v>23</v>
      </c>
    </row>
    <row r="131" spans="1:16" x14ac:dyDescent="0.2">
      <c r="A131" s="2" t="s">
        <v>314</v>
      </c>
      <c r="B131" s="2" t="s">
        <v>315</v>
      </c>
      <c r="C131" s="2" t="s">
        <v>131</v>
      </c>
      <c r="D131" s="2" t="s">
        <v>27</v>
      </c>
      <c r="E131" s="2" t="s">
        <v>58</v>
      </c>
      <c r="F131" s="2" t="s">
        <v>50</v>
      </c>
      <c r="G131" s="2" t="s">
        <v>35</v>
      </c>
      <c r="H131" s="3">
        <v>10574</v>
      </c>
      <c r="I131" s="4">
        <v>30</v>
      </c>
      <c r="J131" s="5">
        <v>4.2699999999999996</v>
      </c>
      <c r="K131" s="4">
        <v>80</v>
      </c>
      <c r="L131" s="3">
        <f t="shared" si="6"/>
        <v>2114.7999999999997</v>
      </c>
      <c r="M131" s="3">
        <f t="shared" si="7"/>
        <v>41.71328405203235</v>
      </c>
      <c r="N131" s="3">
        <v>169.3</v>
      </c>
      <c r="O131" s="5">
        <f t="shared" si="8"/>
        <v>24.638679298306172</v>
      </c>
      <c r="P131" s="2" t="s">
        <v>36</v>
      </c>
    </row>
    <row r="132" spans="1:16" x14ac:dyDescent="0.2">
      <c r="A132" s="2" t="s">
        <v>316</v>
      </c>
      <c r="B132" s="2" t="s">
        <v>317</v>
      </c>
      <c r="C132" s="2" t="s">
        <v>26</v>
      </c>
      <c r="D132" s="2" t="s">
        <v>27</v>
      </c>
      <c r="E132" s="2" t="s">
        <v>81</v>
      </c>
      <c r="F132" s="2" t="s">
        <v>50</v>
      </c>
      <c r="G132" s="2" t="s">
        <v>35</v>
      </c>
      <c r="H132" s="3">
        <v>11767</v>
      </c>
      <c r="I132" s="4">
        <v>25</v>
      </c>
      <c r="J132" s="5">
        <v>5.5</v>
      </c>
      <c r="K132" s="4">
        <v>70</v>
      </c>
      <c r="L132" s="3">
        <f t="shared" si="6"/>
        <v>3530.1000000000004</v>
      </c>
      <c r="M132" s="3">
        <f t="shared" si="7"/>
        <v>50.581772651732422</v>
      </c>
      <c r="N132" s="3">
        <v>126.8</v>
      </c>
      <c r="O132" s="5">
        <f t="shared" si="8"/>
        <v>39.890987895688028</v>
      </c>
      <c r="P132" s="2" t="s">
        <v>36</v>
      </c>
    </row>
    <row r="133" spans="1:16" x14ac:dyDescent="0.2">
      <c r="A133" s="2" t="s">
        <v>318</v>
      </c>
      <c r="B133" s="2" t="s">
        <v>257</v>
      </c>
      <c r="C133" s="2" t="s">
        <v>146</v>
      </c>
      <c r="D133" s="2" t="s">
        <v>19</v>
      </c>
      <c r="E133" s="2" t="s">
        <v>88</v>
      </c>
      <c r="F133" s="2" t="s">
        <v>59</v>
      </c>
      <c r="G133" s="2" t="s">
        <v>35</v>
      </c>
      <c r="H133" s="3">
        <v>12974</v>
      </c>
      <c r="I133" s="4">
        <v>15</v>
      </c>
      <c r="J133" s="5">
        <v>5.35</v>
      </c>
      <c r="K133" s="4">
        <v>80</v>
      </c>
      <c r="L133" s="3">
        <f t="shared" si="6"/>
        <v>2594.7999999999993</v>
      </c>
      <c r="M133" s="3">
        <f t="shared" si="7"/>
        <v>83.982825049169506</v>
      </c>
      <c r="N133" s="3">
        <v>172</v>
      </c>
      <c r="O133" s="5">
        <f t="shared" si="8"/>
        <v>48.827223865796228</v>
      </c>
      <c r="P133" s="2" t="s">
        <v>69</v>
      </c>
    </row>
    <row r="134" spans="1:16" x14ac:dyDescent="0.2">
      <c r="A134" s="2" t="s">
        <v>319</v>
      </c>
      <c r="B134" s="2" t="s">
        <v>320</v>
      </c>
      <c r="C134" s="2" t="s">
        <v>153</v>
      </c>
      <c r="D134" s="2" t="s">
        <v>19</v>
      </c>
      <c r="E134" s="2" t="s">
        <v>88</v>
      </c>
      <c r="F134" s="2" t="s">
        <v>34</v>
      </c>
      <c r="G134" s="2" t="s">
        <v>22</v>
      </c>
      <c r="H134" s="3">
        <v>13144</v>
      </c>
      <c r="I134" s="4">
        <v>25</v>
      </c>
      <c r="J134" s="5">
        <v>5.54</v>
      </c>
      <c r="K134" s="4">
        <v>75</v>
      </c>
      <c r="L134" s="3">
        <f t="shared" si="6"/>
        <v>3286</v>
      </c>
      <c r="M134" s="3">
        <f t="shared" si="7"/>
        <v>60.772456288649472</v>
      </c>
      <c r="N134" s="3">
        <v>141.4</v>
      </c>
      <c r="O134" s="5">
        <f t="shared" si="8"/>
        <v>42.979106286173604</v>
      </c>
      <c r="P134" s="2" t="s">
        <v>36</v>
      </c>
    </row>
    <row r="135" spans="1:16" x14ac:dyDescent="0.2">
      <c r="A135" s="2" t="s">
        <v>321</v>
      </c>
      <c r="B135" s="2" t="s">
        <v>179</v>
      </c>
      <c r="C135" s="2" t="s">
        <v>131</v>
      </c>
      <c r="D135" s="2" t="s">
        <v>27</v>
      </c>
      <c r="E135" s="2" t="s">
        <v>78</v>
      </c>
      <c r="F135" s="2" t="s">
        <v>34</v>
      </c>
      <c r="G135" s="2" t="s">
        <v>22</v>
      </c>
      <c r="H135" s="3">
        <v>12712</v>
      </c>
      <c r="I135" s="4">
        <v>20</v>
      </c>
      <c r="J135" s="5">
        <v>4.97</v>
      </c>
      <c r="K135" s="4">
        <v>80</v>
      </c>
      <c r="L135" s="3">
        <f t="shared" si="6"/>
        <v>2542.3999999999996</v>
      </c>
      <c r="M135" s="3">
        <f t="shared" si="7"/>
        <v>66.946436263712314</v>
      </c>
      <c r="N135" s="3">
        <v>147.69999999999999</v>
      </c>
      <c r="O135" s="5">
        <f t="shared" si="8"/>
        <v>45.325955493373272</v>
      </c>
      <c r="P135" s="2" t="s">
        <v>23</v>
      </c>
    </row>
    <row r="136" spans="1:16" x14ac:dyDescent="0.2">
      <c r="A136" s="2" t="s">
        <v>322</v>
      </c>
      <c r="B136" s="2" t="s">
        <v>187</v>
      </c>
      <c r="C136" s="2" t="s">
        <v>119</v>
      </c>
      <c r="D136" s="2" t="s">
        <v>120</v>
      </c>
      <c r="E136" s="2" t="s">
        <v>33</v>
      </c>
      <c r="F136" s="2" t="s">
        <v>28</v>
      </c>
      <c r="G136" s="2" t="s">
        <v>98</v>
      </c>
      <c r="H136" s="3">
        <v>5887</v>
      </c>
      <c r="I136" s="4">
        <v>20</v>
      </c>
      <c r="J136" s="5">
        <v>4.66</v>
      </c>
      <c r="K136" s="4">
        <v>75</v>
      </c>
      <c r="L136" s="3">
        <f t="shared" si="6"/>
        <v>1471.75</v>
      </c>
      <c r="M136" s="3">
        <f t="shared" si="7"/>
        <v>28.315820940182839</v>
      </c>
      <c r="N136" s="3">
        <v>83.3</v>
      </c>
      <c r="O136" s="5">
        <f t="shared" si="8"/>
        <v>33.992582161083838</v>
      </c>
      <c r="P136" s="2" t="s">
        <v>29</v>
      </c>
    </row>
    <row r="137" spans="1:16" x14ac:dyDescent="0.2">
      <c r="A137" s="2" t="s">
        <v>323</v>
      </c>
      <c r="B137" s="2" t="s">
        <v>196</v>
      </c>
      <c r="C137" s="2" t="s">
        <v>142</v>
      </c>
      <c r="D137" s="2" t="s">
        <v>143</v>
      </c>
      <c r="E137" s="2" t="s">
        <v>97</v>
      </c>
      <c r="F137" s="2" t="s">
        <v>28</v>
      </c>
      <c r="G137" s="2" t="s">
        <v>22</v>
      </c>
      <c r="H137" s="3">
        <v>2647</v>
      </c>
      <c r="I137" s="4">
        <v>15</v>
      </c>
      <c r="J137" s="5">
        <v>5.76</v>
      </c>
      <c r="K137" s="4">
        <v>70</v>
      </c>
      <c r="L137" s="3">
        <f t="shared" si="6"/>
        <v>794.10000000000014</v>
      </c>
      <c r="M137" s="3">
        <f t="shared" si="7"/>
        <v>15.396592057961515</v>
      </c>
      <c r="N137" s="3">
        <v>33.1</v>
      </c>
      <c r="O137" s="5">
        <f t="shared" si="8"/>
        <v>46.515383860910916</v>
      </c>
      <c r="P137" s="2" t="s">
        <v>36</v>
      </c>
    </row>
    <row r="138" spans="1:16" x14ac:dyDescent="0.2">
      <c r="A138" s="2" t="s">
        <v>324</v>
      </c>
      <c r="B138" s="2" t="s">
        <v>325</v>
      </c>
      <c r="C138" s="2" t="s">
        <v>77</v>
      </c>
      <c r="D138" s="2" t="s">
        <v>19</v>
      </c>
      <c r="E138" s="2" t="s">
        <v>20</v>
      </c>
      <c r="F138" s="2" t="s">
        <v>28</v>
      </c>
      <c r="G138" s="2" t="s">
        <v>22</v>
      </c>
      <c r="H138" s="3">
        <v>8821</v>
      </c>
      <c r="I138" s="4">
        <v>15</v>
      </c>
      <c r="J138" s="5">
        <v>4.28</v>
      </c>
      <c r="K138" s="4">
        <v>90</v>
      </c>
      <c r="L138" s="3">
        <f t="shared" si="6"/>
        <v>882.0999999999998</v>
      </c>
      <c r="M138" s="3">
        <f t="shared" si="7"/>
        <v>59.843240911767168</v>
      </c>
      <c r="N138" s="3">
        <v>112</v>
      </c>
      <c r="O138" s="5">
        <f t="shared" si="8"/>
        <v>53.431465099792121</v>
      </c>
      <c r="P138" s="2" t="s">
        <v>36</v>
      </c>
    </row>
    <row r="139" spans="1:16" x14ac:dyDescent="0.2">
      <c r="A139" s="2" t="s">
        <v>326</v>
      </c>
      <c r="B139" s="2" t="s">
        <v>281</v>
      </c>
      <c r="C139" s="2" t="s">
        <v>26</v>
      </c>
      <c r="D139" s="2" t="s">
        <v>27</v>
      </c>
      <c r="E139" s="2" t="s">
        <v>114</v>
      </c>
      <c r="F139" s="2" t="s">
        <v>59</v>
      </c>
      <c r="G139" s="2" t="s">
        <v>22</v>
      </c>
      <c r="H139" s="3">
        <v>4791</v>
      </c>
      <c r="I139" s="4">
        <v>20</v>
      </c>
      <c r="J139" s="5">
        <v>4.9000000000000004</v>
      </c>
      <c r="K139" s="4">
        <v>80</v>
      </c>
      <c r="L139" s="3">
        <f t="shared" si="6"/>
        <v>958.19999999999982</v>
      </c>
      <c r="M139" s="3">
        <f t="shared" si="7"/>
        <v>25.083531509189932</v>
      </c>
      <c r="N139" s="3">
        <v>64.7</v>
      </c>
      <c r="O139" s="5">
        <f t="shared" si="8"/>
        <v>38.76898223986079</v>
      </c>
      <c r="P139" s="2" t="s">
        <v>69</v>
      </c>
    </row>
    <row r="140" spans="1:16" x14ac:dyDescent="0.2">
      <c r="A140" s="2" t="s">
        <v>327</v>
      </c>
      <c r="B140" s="2" t="s">
        <v>328</v>
      </c>
      <c r="C140" s="2" t="s">
        <v>142</v>
      </c>
      <c r="D140" s="2" t="s">
        <v>143</v>
      </c>
      <c r="E140" s="2" t="s">
        <v>177</v>
      </c>
      <c r="F140" s="2" t="s">
        <v>34</v>
      </c>
      <c r="G140" s="2" t="s">
        <v>44</v>
      </c>
      <c r="H140" s="3">
        <v>5432</v>
      </c>
      <c r="I140" s="4">
        <v>15</v>
      </c>
      <c r="J140" s="5">
        <v>4.05</v>
      </c>
      <c r="K140" s="4">
        <v>75</v>
      </c>
      <c r="L140" s="3">
        <f t="shared" si="6"/>
        <v>1358</v>
      </c>
      <c r="M140" s="3">
        <f t="shared" si="7"/>
        <v>30.237066734372799</v>
      </c>
      <c r="N140" s="3">
        <v>96.8</v>
      </c>
      <c r="O140" s="5">
        <f t="shared" si="8"/>
        <v>31.236639188401654</v>
      </c>
      <c r="P140" s="2" t="s">
        <v>36</v>
      </c>
    </row>
    <row r="141" spans="1:16" x14ac:dyDescent="0.2">
      <c r="A141" s="2" t="s">
        <v>329</v>
      </c>
      <c r="B141" s="2" t="s">
        <v>330</v>
      </c>
      <c r="C141" s="2" t="s">
        <v>146</v>
      </c>
      <c r="D141" s="2" t="s">
        <v>19</v>
      </c>
      <c r="E141" s="2" t="s">
        <v>33</v>
      </c>
      <c r="F141" s="2" t="s">
        <v>50</v>
      </c>
      <c r="G141" s="2" t="s">
        <v>22</v>
      </c>
      <c r="H141" s="3">
        <v>17172</v>
      </c>
      <c r="I141" s="4">
        <v>20</v>
      </c>
      <c r="J141" s="5">
        <v>4.22</v>
      </c>
      <c r="K141" s="4">
        <v>75</v>
      </c>
      <c r="L141" s="3">
        <f t="shared" si="6"/>
        <v>4293</v>
      </c>
      <c r="M141" s="3">
        <f t="shared" si="7"/>
        <v>79.54527044292702</v>
      </c>
      <c r="N141" s="3">
        <v>201.5</v>
      </c>
      <c r="O141" s="5">
        <f t="shared" si="8"/>
        <v>39.476561013859559</v>
      </c>
      <c r="P141" s="2" t="s">
        <v>69</v>
      </c>
    </row>
    <row r="142" spans="1:16" x14ac:dyDescent="0.2">
      <c r="A142" s="2" t="s">
        <v>331</v>
      </c>
      <c r="B142" s="2" t="s">
        <v>332</v>
      </c>
      <c r="C142" s="2" t="s">
        <v>72</v>
      </c>
      <c r="D142" s="2" t="s">
        <v>73</v>
      </c>
      <c r="E142" s="2" t="s">
        <v>97</v>
      </c>
      <c r="F142" s="2" t="s">
        <v>34</v>
      </c>
      <c r="G142" s="2" t="s">
        <v>98</v>
      </c>
      <c r="H142" s="3">
        <v>14935</v>
      </c>
      <c r="I142" s="4">
        <v>20</v>
      </c>
      <c r="J142" s="5">
        <v>5.64</v>
      </c>
      <c r="K142" s="4">
        <v>70</v>
      </c>
      <c r="L142" s="3">
        <f t="shared" si="6"/>
        <v>4480.5000000000009</v>
      </c>
      <c r="M142" s="3">
        <f t="shared" si="7"/>
        <v>72.744337900787855</v>
      </c>
      <c r="N142" s="3">
        <v>164.9</v>
      </c>
      <c r="O142" s="5">
        <f t="shared" si="8"/>
        <v>44.114213402539633</v>
      </c>
      <c r="P142" s="2" t="s">
        <v>69</v>
      </c>
    </row>
    <row r="143" spans="1:16" x14ac:dyDescent="0.2">
      <c r="A143" s="2" t="s">
        <v>333</v>
      </c>
      <c r="B143" s="2" t="s">
        <v>334</v>
      </c>
      <c r="C143" s="2" t="s">
        <v>91</v>
      </c>
      <c r="D143" s="2" t="s">
        <v>92</v>
      </c>
      <c r="E143" s="2" t="s">
        <v>88</v>
      </c>
      <c r="F143" s="2" t="s">
        <v>28</v>
      </c>
      <c r="G143" s="2" t="s">
        <v>98</v>
      </c>
      <c r="H143" s="3">
        <v>14306</v>
      </c>
      <c r="I143" s="4">
        <v>30</v>
      </c>
      <c r="J143" s="5">
        <v>5.44</v>
      </c>
      <c r="K143" s="4">
        <v>80</v>
      </c>
      <c r="L143" s="3">
        <f t="shared" si="6"/>
        <v>2861.1999999999994</v>
      </c>
      <c r="M143" s="3">
        <f t="shared" si="7"/>
        <v>64.552133368071111</v>
      </c>
      <c r="N143" s="3">
        <v>256.3</v>
      </c>
      <c r="O143" s="5">
        <f t="shared" si="8"/>
        <v>25.186162063234924</v>
      </c>
      <c r="P143" s="2" t="s">
        <v>23</v>
      </c>
    </row>
    <row r="144" spans="1:16" x14ac:dyDescent="0.2">
      <c r="A144" s="2" t="s">
        <v>335</v>
      </c>
      <c r="B144" s="2" t="s">
        <v>336</v>
      </c>
      <c r="C144" s="2" t="s">
        <v>175</v>
      </c>
      <c r="D144" s="2" t="s">
        <v>176</v>
      </c>
      <c r="E144" s="2" t="s">
        <v>107</v>
      </c>
      <c r="F144" s="2" t="s">
        <v>21</v>
      </c>
      <c r="G144" s="2" t="s">
        <v>98</v>
      </c>
      <c r="H144" s="3">
        <v>4862</v>
      </c>
      <c r="I144" s="4">
        <v>30</v>
      </c>
      <c r="J144" s="5">
        <v>4.87</v>
      </c>
      <c r="K144" s="4">
        <v>85</v>
      </c>
      <c r="L144" s="3">
        <f t="shared" si="6"/>
        <v>729.30000000000007</v>
      </c>
      <c r="M144" s="3">
        <f t="shared" si="7"/>
        <v>21.858047694740016</v>
      </c>
      <c r="N144" s="3">
        <v>54</v>
      </c>
      <c r="O144" s="5">
        <f t="shared" si="8"/>
        <v>40.477866101370402</v>
      </c>
      <c r="P144" s="2" t="s">
        <v>36</v>
      </c>
    </row>
    <row r="145" spans="1:16" x14ac:dyDescent="0.2">
      <c r="A145" s="2" t="s">
        <v>337</v>
      </c>
      <c r="B145" s="2" t="s">
        <v>338</v>
      </c>
      <c r="C145" s="2" t="s">
        <v>72</v>
      </c>
      <c r="D145" s="2" t="s">
        <v>73</v>
      </c>
      <c r="E145" s="2" t="s">
        <v>114</v>
      </c>
      <c r="F145" s="2" t="s">
        <v>50</v>
      </c>
      <c r="G145" s="2" t="s">
        <v>44</v>
      </c>
      <c r="H145" s="3">
        <v>12791</v>
      </c>
      <c r="I145" s="4">
        <v>15</v>
      </c>
      <c r="J145" s="5">
        <v>4.87</v>
      </c>
      <c r="K145" s="4">
        <v>70</v>
      </c>
      <c r="L145" s="3">
        <f t="shared" si="6"/>
        <v>3837.3000000000006</v>
      </c>
      <c r="M145" s="3">
        <f t="shared" si="7"/>
        <v>70.200430112223017</v>
      </c>
      <c r="N145" s="3">
        <v>183.5</v>
      </c>
      <c r="O145" s="5">
        <f t="shared" si="8"/>
        <v>38.256365183772765</v>
      </c>
      <c r="P145" s="2" t="s">
        <v>36</v>
      </c>
    </row>
    <row r="146" spans="1:16" x14ac:dyDescent="0.2">
      <c r="A146" s="2" t="s">
        <v>339</v>
      </c>
      <c r="B146" s="2" t="s">
        <v>340</v>
      </c>
      <c r="C146" s="2" t="s">
        <v>47</v>
      </c>
      <c r="D146" s="2" t="s">
        <v>48</v>
      </c>
      <c r="E146" s="2" t="s">
        <v>88</v>
      </c>
      <c r="F146" s="2" t="s">
        <v>28</v>
      </c>
      <c r="G146" s="2" t="s">
        <v>35</v>
      </c>
      <c r="H146" s="3">
        <v>17755</v>
      </c>
      <c r="I146" s="4">
        <v>15</v>
      </c>
      <c r="J146" s="5">
        <v>5.16</v>
      </c>
      <c r="K146" s="4">
        <v>80</v>
      </c>
      <c r="L146" s="3">
        <f t="shared" si="6"/>
        <v>3550.9999999999991</v>
      </c>
      <c r="M146" s="3">
        <f t="shared" si="7"/>
        <v>113.51174761332439</v>
      </c>
      <c r="N146" s="3">
        <v>201.9</v>
      </c>
      <c r="O146" s="5">
        <f t="shared" si="8"/>
        <v>56.221767019972461</v>
      </c>
      <c r="P146" s="2" t="s">
        <v>36</v>
      </c>
    </row>
    <row r="147" spans="1:16" x14ac:dyDescent="0.2">
      <c r="A147" s="2" t="s">
        <v>341</v>
      </c>
      <c r="B147" s="2" t="s">
        <v>342</v>
      </c>
      <c r="C147" s="2" t="s">
        <v>56</v>
      </c>
      <c r="D147" s="2" t="s">
        <v>57</v>
      </c>
      <c r="E147" s="2" t="s">
        <v>49</v>
      </c>
      <c r="F147" s="2" t="s">
        <v>59</v>
      </c>
      <c r="G147" s="2" t="s">
        <v>44</v>
      </c>
      <c r="H147" s="3">
        <v>17473</v>
      </c>
      <c r="I147" s="4">
        <v>20</v>
      </c>
      <c r="J147" s="5">
        <v>5.45</v>
      </c>
      <c r="K147" s="4">
        <v>70</v>
      </c>
      <c r="L147" s="3">
        <f t="shared" si="6"/>
        <v>5241.9000000000005</v>
      </c>
      <c r="M147" s="3">
        <f t="shared" si="7"/>
        <v>83.79115414150489</v>
      </c>
      <c r="N147" s="3">
        <v>246.8</v>
      </c>
      <c r="O147" s="5">
        <f t="shared" si="8"/>
        <v>33.951034903365027</v>
      </c>
      <c r="P147" s="2" t="s">
        <v>36</v>
      </c>
    </row>
    <row r="148" spans="1:16" x14ac:dyDescent="0.2">
      <c r="A148" s="2" t="s">
        <v>343</v>
      </c>
      <c r="B148" s="2" t="s">
        <v>344</v>
      </c>
      <c r="C148" s="2" t="s">
        <v>67</v>
      </c>
      <c r="D148" s="2" t="s">
        <v>67</v>
      </c>
      <c r="E148" s="2" t="s">
        <v>68</v>
      </c>
      <c r="F148" s="2" t="s">
        <v>50</v>
      </c>
      <c r="G148" s="2" t="s">
        <v>35</v>
      </c>
      <c r="H148" s="3">
        <v>10556</v>
      </c>
      <c r="I148" s="4">
        <v>15</v>
      </c>
      <c r="J148" s="5">
        <v>4.16</v>
      </c>
      <c r="K148" s="4">
        <v>70</v>
      </c>
      <c r="L148" s="3">
        <f t="shared" si="6"/>
        <v>3166.8000000000006</v>
      </c>
      <c r="M148" s="3">
        <f t="shared" si="7"/>
        <v>55.251374062765173</v>
      </c>
      <c r="N148" s="3">
        <v>144.19999999999999</v>
      </c>
      <c r="O148" s="5">
        <f t="shared" si="8"/>
        <v>38.315793386106222</v>
      </c>
      <c r="P148" s="2" t="s">
        <v>69</v>
      </c>
    </row>
    <row r="149" spans="1:16" x14ac:dyDescent="0.2">
      <c r="A149" s="2" t="s">
        <v>345</v>
      </c>
      <c r="B149" s="2" t="s">
        <v>346</v>
      </c>
      <c r="C149" s="2" t="s">
        <v>131</v>
      </c>
      <c r="D149" s="2" t="s">
        <v>27</v>
      </c>
      <c r="E149" s="2" t="s">
        <v>68</v>
      </c>
      <c r="F149" s="2" t="s">
        <v>59</v>
      </c>
      <c r="G149" s="2" t="s">
        <v>44</v>
      </c>
      <c r="H149" s="3">
        <v>14829</v>
      </c>
      <c r="I149" s="4">
        <v>25</v>
      </c>
      <c r="J149" s="5">
        <v>5.44</v>
      </c>
      <c r="K149" s="4">
        <v>80</v>
      </c>
      <c r="L149" s="3">
        <f t="shared" si="6"/>
        <v>2965.7999999999993</v>
      </c>
      <c r="M149" s="3">
        <f t="shared" si="7"/>
        <v>72.42596248179656</v>
      </c>
      <c r="N149" s="3">
        <v>264.8</v>
      </c>
      <c r="O149" s="5">
        <f t="shared" si="8"/>
        <v>27.351194290708669</v>
      </c>
      <c r="P149" s="2" t="s">
        <v>36</v>
      </c>
    </row>
    <row r="150" spans="1:16" x14ac:dyDescent="0.2">
      <c r="A150" s="2" t="s">
        <v>347</v>
      </c>
      <c r="B150" s="2" t="s">
        <v>348</v>
      </c>
      <c r="C150" s="2" t="s">
        <v>119</v>
      </c>
      <c r="D150" s="2" t="s">
        <v>120</v>
      </c>
      <c r="E150" s="2" t="s">
        <v>68</v>
      </c>
      <c r="F150" s="2" t="s">
        <v>50</v>
      </c>
      <c r="G150" s="2" t="s">
        <v>35</v>
      </c>
      <c r="H150" s="3">
        <v>4047</v>
      </c>
      <c r="I150" s="4">
        <v>20</v>
      </c>
      <c r="J150" s="5">
        <v>3.95</v>
      </c>
      <c r="K150" s="4">
        <v>80</v>
      </c>
      <c r="L150" s="3">
        <f t="shared" si="6"/>
        <v>809.39999999999986</v>
      </c>
      <c r="M150" s="3">
        <f t="shared" si="7"/>
        <v>19.534024442193914</v>
      </c>
      <c r="N150" s="3">
        <v>67</v>
      </c>
      <c r="O150" s="5">
        <f t="shared" si="8"/>
        <v>29.155260361483453</v>
      </c>
      <c r="P150" s="2" t="s">
        <v>36</v>
      </c>
    </row>
    <row r="151" spans="1:16" x14ac:dyDescent="0.2">
      <c r="A151" s="2" t="s">
        <v>349</v>
      </c>
      <c r="B151" s="2" t="s">
        <v>350</v>
      </c>
      <c r="C151" s="2" t="s">
        <v>91</v>
      </c>
      <c r="D151" s="2" t="s">
        <v>92</v>
      </c>
      <c r="E151" s="2" t="s">
        <v>58</v>
      </c>
      <c r="F151" s="2" t="s">
        <v>21</v>
      </c>
      <c r="G151" s="2" t="s">
        <v>35</v>
      </c>
      <c r="H151" s="3">
        <v>2229</v>
      </c>
      <c r="I151" s="4">
        <v>15</v>
      </c>
      <c r="J151" s="5">
        <v>5.57</v>
      </c>
      <c r="K151" s="4">
        <v>85</v>
      </c>
      <c r="L151" s="3">
        <f t="shared" si="6"/>
        <v>334.35</v>
      </c>
      <c r="M151" s="3">
        <f t="shared" si="7"/>
        <v>15.551339471499833</v>
      </c>
      <c r="N151" s="3">
        <v>37.299999999999997</v>
      </c>
      <c r="O151" s="5">
        <f t="shared" si="8"/>
        <v>41.692599119302507</v>
      </c>
      <c r="P151" s="2" t="s">
        <v>36</v>
      </c>
    </row>
    <row r="152" spans="1:16" x14ac:dyDescent="0.2">
      <c r="A152" s="2" t="s">
        <v>351</v>
      </c>
      <c r="B152" s="2" t="s">
        <v>332</v>
      </c>
      <c r="C152" s="2" t="s">
        <v>39</v>
      </c>
      <c r="D152" s="2" t="s">
        <v>40</v>
      </c>
      <c r="E152" s="2" t="s">
        <v>97</v>
      </c>
      <c r="F152" s="2" t="s">
        <v>28</v>
      </c>
      <c r="G152" s="2" t="s">
        <v>44</v>
      </c>
      <c r="H152" s="3">
        <v>16515</v>
      </c>
      <c r="I152" s="4">
        <v>15</v>
      </c>
      <c r="J152" s="5">
        <v>5.46</v>
      </c>
      <c r="K152" s="4">
        <v>75</v>
      </c>
      <c r="L152" s="3">
        <f t="shared" si="6"/>
        <v>4128.75</v>
      </c>
      <c r="M152" s="3">
        <f t="shared" si="7"/>
        <v>100.9432793189245</v>
      </c>
      <c r="N152" s="3">
        <v>257.10000000000002</v>
      </c>
      <c r="O152" s="5">
        <f t="shared" si="8"/>
        <v>39.262263445711589</v>
      </c>
      <c r="P152" s="2" t="s">
        <v>29</v>
      </c>
    </row>
    <row r="153" spans="1:16" x14ac:dyDescent="0.2">
      <c r="A153" s="2" t="s">
        <v>352</v>
      </c>
      <c r="B153" s="2" t="s">
        <v>353</v>
      </c>
      <c r="C153" s="2" t="s">
        <v>100</v>
      </c>
      <c r="D153" s="2" t="s">
        <v>32</v>
      </c>
      <c r="E153" s="2" t="s">
        <v>97</v>
      </c>
      <c r="F153" s="2" t="s">
        <v>34</v>
      </c>
      <c r="G153" s="2" t="s">
        <v>44</v>
      </c>
      <c r="H153" s="3">
        <v>13535</v>
      </c>
      <c r="I153" s="4">
        <v>20</v>
      </c>
      <c r="J153" s="5">
        <v>5.78</v>
      </c>
      <c r="K153" s="4">
        <v>80</v>
      </c>
      <c r="L153" s="3">
        <f t="shared" si="6"/>
        <v>2706.9999999999995</v>
      </c>
      <c r="M153" s="3">
        <f t="shared" si="7"/>
        <v>76.207166969021898</v>
      </c>
      <c r="N153" s="3">
        <v>178</v>
      </c>
      <c r="O153" s="5">
        <f t="shared" si="8"/>
        <v>42.8130151511359</v>
      </c>
      <c r="P153" s="2" t="s">
        <v>23</v>
      </c>
    </row>
    <row r="154" spans="1:16" x14ac:dyDescent="0.2">
      <c r="A154" s="2" t="s">
        <v>354</v>
      </c>
      <c r="B154" s="2" t="s">
        <v>355</v>
      </c>
      <c r="C154" s="2" t="s">
        <v>142</v>
      </c>
      <c r="D154" s="2" t="s">
        <v>143</v>
      </c>
      <c r="E154" s="2" t="s">
        <v>114</v>
      </c>
      <c r="F154" s="2" t="s">
        <v>21</v>
      </c>
      <c r="G154" s="2" t="s">
        <v>98</v>
      </c>
      <c r="H154" s="3">
        <v>3076</v>
      </c>
      <c r="I154" s="4">
        <v>30</v>
      </c>
      <c r="J154" s="5">
        <v>5.0199999999999996</v>
      </c>
      <c r="K154" s="4">
        <v>85</v>
      </c>
      <c r="L154" s="3">
        <f t="shared" si="6"/>
        <v>461.40000000000009</v>
      </c>
      <c r="M154" s="3">
        <f t="shared" si="7"/>
        <v>14.067714177428035</v>
      </c>
      <c r="N154" s="3">
        <v>51.8</v>
      </c>
      <c r="O154" s="5">
        <f t="shared" si="8"/>
        <v>27.1577493772742</v>
      </c>
      <c r="P154" s="2" t="s">
        <v>36</v>
      </c>
    </row>
    <row r="155" spans="1:16" x14ac:dyDescent="0.2">
      <c r="A155" s="2" t="s">
        <v>356</v>
      </c>
      <c r="B155" s="2" t="s">
        <v>237</v>
      </c>
      <c r="C155" s="2" t="s">
        <v>119</v>
      </c>
      <c r="D155" s="2" t="s">
        <v>120</v>
      </c>
      <c r="E155" s="2" t="s">
        <v>41</v>
      </c>
      <c r="F155" s="2" t="s">
        <v>28</v>
      </c>
      <c r="G155" s="2" t="s">
        <v>44</v>
      </c>
      <c r="H155" s="3">
        <v>2191</v>
      </c>
      <c r="I155" s="4">
        <v>20</v>
      </c>
      <c r="J155" s="5">
        <v>4.1399999999999997</v>
      </c>
      <c r="K155" s="4">
        <v>80</v>
      </c>
      <c r="L155" s="3">
        <f t="shared" si="6"/>
        <v>438.19999999999987</v>
      </c>
      <c r="M155" s="3">
        <f t="shared" si="7"/>
        <v>10.751373004613622</v>
      </c>
      <c r="N155" s="3">
        <v>30.8</v>
      </c>
      <c r="O155" s="5">
        <f t="shared" si="8"/>
        <v>34.907055209784488</v>
      </c>
      <c r="P155" s="2" t="s">
        <v>29</v>
      </c>
    </row>
    <row r="156" spans="1:16" x14ac:dyDescent="0.2">
      <c r="A156" s="2" t="s">
        <v>357</v>
      </c>
      <c r="B156" s="2" t="s">
        <v>358</v>
      </c>
      <c r="C156" s="2" t="s">
        <v>32</v>
      </c>
      <c r="D156" s="2" t="s">
        <v>32</v>
      </c>
      <c r="E156" s="2" t="s">
        <v>33</v>
      </c>
      <c r="F156" s="2" t="s">
        <v>50</v>
      </c>
      <c r="G156" s="2" t="s">
        <v>44</v>
      </c>
      <c r="H156" s="3">
        <v>6378</v>
      </c>
      <c r="I156" s="4">
        <v>25</v>
      </c>
      <c r="J156" s="5">
        <v>5.56</v>
      </c>
      <c r="K156" s="4">
        <v>90</v>
      </c>
      <c r="L156" s="3">
        <f t="shared" si="6"/>
        <v>637.79999999999984</v>
      </c>
      <c r="M156" s="3">
        <f t="shared" si="7"/>
        <v>35.455826694122628</v>
      </c>
      <c r="N156" s="3">
        <v>94</v>
      </c>
      <c r="O156" s="5">
        <f t="shared" si="8"/>
        <v>37.718964568215561</v>
      </c>
      <c r="P156" s="2" t="s">
        <v>36</v>
      </c>
    </row>
    <row r="157" spans="1:16" x14ac:dyDescent="0.2">
      <c r="A157" s="2" t="s">
        <v>359</v>
      </c>
      <c r="B157" s="2" t="s">
        <v>360</v>
      </c>
      <c r="C157" s="2" t="s">
        <v>62</v>
      </c>
      <c r="D157" s="2" t="s">
        <v>63</v>
      </c>
      <c r="E157" s="2" t="s">
        <v>20</v>
      </c>
      <c r="F157" s="2" t="s">
        <v>28</v>
      </c>
      <c r="G157" s="2" t="s">
        <v>44</v>
      </c>
      <c r="H157" s="3">
        <v>4696</v>
      </c>
      <c r="I157" s="4">
        <v>30</v>
      </c>
      <c r="J157" s="5">
        <v>4.82</v>
      </c>
      <c r="K157" s="4">
        <v>70</v>
      </c>
      <c r="L157" s="3">
        <f t="shared" si="6"/>
        <v>1408.8000000000002</v>
      </c>
      <c r="M157" s="3">
        <f t="shared" si="7"/>
        <v>17.286560730976309</v>
      </c>
      <c r="N157" s="3">
        <v>55.9</v>
      </c>
      <c r="O157" s="5">
        <f t="shared" si="8"/>
        <v>30.924080019635614</v>
      </c>
      <c r="P157" s="2" t="s">
        <v>36</v>
      </c>
    </row>
    <row r="158" spans="1:16" x14ac:dyDescent="0.2">
      <c r="A158" s="2" t="s">
        <v>361</v>
      </c>
      <c r="B158" s="2" t="s">
        <v>362</v>
      </c>
      <c r="C158" s="2" t="s">
        <v>18</v>
      </c>
      <c r="D158" s="2" t="s">
        <v>19</v>
      </c>
      <c r="E158" s="2" t="s">
        <v>64</v>
      </c>
      <c r="F158" s="2" t="s">
        <v>34</v>
      </c>
      <c r="G158" s="2" t="s">
        <v>98</v>
      </c>
      <c r="H158" s="3">
        <v>5385</v>
      </c>
      <c r="I158" s="4">
        <v>20</v>
      </c>
      <c r="J158" s="5">
        <v>4.04</v>
      </c>
      <c r="K158" s="4">
        <v>80</v>
      </c>
      <c r="L158" s="3">
        <f t="shared" si="6"/>
        <v>1076.9999999999998</v>
      </c>
      <c r="M158" s="3">
        <f t="shared" si="7"/>
        <v>26.196522858785425</v>
      </c>
      <c r="N158" s="3">
        <v>69.8</v>
      </c>
      <c r="O158" s="5">
        <f t="shared" si="8"/>
        <v>37.530835041239861</v>
      </c>
      <c r="P158" s="2" t="s">
        <v>69</v>
      </c>
    </row>
    <row r="159" spans="1:16" x14ac:dyDescent="0.2">
      <c r="A159" s="2" t="s">
        <v>363</v>
      </c>
      <c r="B159" s="2" t="s">
        <v>172</v>
      </c>
      <c r="C159" s="2" t="s">
        <v>56</v>
      </c>
      <c r="D159" s="2" t="s">
        <v>57</v>
      </c>
      <c r="E159" s="2" t="s">
        <v>74</v>
      </c>
      <c r="F159" s="2" t="s">
        <v>28</v>
      </c>
      <c r="G159" s="2" t="s">
        <v>35</v>
      </c>
      <c r="H159" s="3">
        <v>5686</v>
      </c>
      <c r="I159" s="4">
        <v>15</v>
      </c>
      <c r="J159" s="5">
        <v>4.6399999999999997</v>
      </c>
      <c r="K159" s="4">
        <v>70</v>
      </c>
      <c r="L159" s="3">
        <f t="shared" si="6"/>
        <v>1705.8000000000002</v>
      </c>
      <c r="M159" s="3">
        <f t="shared" si="7"/>
        <v>30.733819478161216</v>
      </c>
      <c r="N159" s="3">
        <v>90.6</v>
      </c>
      <c r="O159" s="5">
        <f t="shared" si="8"/>
        <v>33.922538055365578</v>
      </c>
      <c r="P159" s="2" t="s">
        <v>36</v>
      </c>
    </row>
    <row r="160" spans="1:16" x14ac:dyDescent="0.2">
      <c r="A160" s="2" t="s">
        <v>364</v>
      </c>
      <c r="B160" s="2" t="s">
        <v>365</v>
      </c>
      <c r="C160" s="2" t="s">
        <v>100</v>
      </c>
      <c r="D160" s="2" t="s">
        <v>32</v>
      </c>
      <c r="E160" s="2" t="s">
        <v>78</v>
      </c>
      <c r="F160" s="2" t="s">
        <v>50</v>
      </c>
      <c r="G160" s="2" t="s">
        <v>22</v>
      </c>
      <c r="H160" s="3">
        <v>7349</v>
      </c>
      <c r="I160" s="4">
        <v>20</v>
      </c>
      <c r="J160" s="5">
        <v>3.9</v>
      </c>
      <c r="K160" s="4">
        <v>85</v>
      </c>
      <c r="L160" s="3">
        <f t="shared" si="6"/>
        <v>1102.3500000000001</v>
      </c>
      <c r="M160" s="3">
        <f t="shared" si="7"/>
        <v>37.525125411368606</v>
      </c>
      <c r="N160" s="3">
        <v>123.1</v>
      </c>
      <c r="O160" s="5">
        <f t="shared" si="8"/>
        <v>30.483448750096347</v>
      </c>
      <c r="P160" s="2" t="s">
        <v>36</v>
      </c>
    </row>
    <row r="161" spans="1:16" x14ac:dyDescent="0.2">
      <c r="A161" s="2" t="s">
        <v>366</v>
      </c>
      <c r="B161" s="2" t="s">
        <v>118</v>
      </c>
      <c r="C161" s="2" t="s">
        <v>175</v>
      </c>
      <c r="D161" s="2" t="s">
        <v>176</v>
      </c>
      <c r="E161" s="2" t="s">
        <v>107</v>
      </c>
      <c r="F161" s="2" t="s">
        <v>28</v>
      </c>
      <c r="G161" s="2" t="s">
        <v>98</v>
      </c>
      <c r="H161" s="3">
        <v>6267</v>
      </c>
      <c r="I161" s="4">
        <v>25</v>
      </c>
      <c r="J161" s="5">
        <v>3.93</v>
      </c>
      <c r="K161" s="4">
        <v>80</v>
      </c>
      <c r="L161" s="3">
        <f t="shared" si="6"/>
        <v>1253.3999999999996</v>
      </c>
      <c r="M161" s="3">
        <f t="shared" si="7"/>
        <v>26.270233075098705</v>
      </c>
      <c r="N161" s="3">
        <v>103.9</v>
      </c>
      <c r="O161" s="5">
        <f t="shared" si="8"/>
        <v>25.284151179113284</v>
      </c>
      <c r="P161" s="2" t="s">
        <v>69</v>
      </c>
    </row>
    <row r="162" spans="1:16" x14ac:dyDescent="0.2">
      <c r="A162" s="2" t="s">
        <v>367</v>
      </c>
      <c r="B162" s="2" t="s">
        <v>262</v>
      </c>
      <c r="C162" s="2" t="s">
        <v>153</v>
      </c>
      <c r="D162" s="2" t="s">
        <v>19</v>
      </c>
      <c r="E162" s="2" t="s">
        <v>41</v>
      </c>
      <c r="F162" s="2" t="s">
        <v>50</v>
      </c>
      <c r="G162" s="2" t="s">
        <v>22</v>
      </c>
      <c r="H162" s="3">
        <v>16423</v>
      </c>
      <c r="I162" s="4">
        <v>20</v>
      </c>
      <c r="J162" s="5">
        <v>4.25</v>
      </c>
      <c r="K162" s="4">
        <v>75</v>
      </c>
      <c r="L162" s="3">
        <f t="shared" si="6"/>
        <v>4105.75</v>
      </c>
      <c r="M162" s="3">
        <f t="shared" si="7"/>
        <v>76.272657654410608</v>
      </c>
      <c r="N162" s="3">
        <v>197.7</v>
      </c>
      <c r="O162" s="5">
        <f t="shared" si="8"/>
        <v>38.579998813561261</v>
      </c>
      <c r="P162" s="2" t="s">
        <v>36</v>
      </c>
    </row>
    <row r="163" spans="1:16" x14ac:dyDescent="0.2">
      <c r="A163" s="2" t="s">
        <v>368</v>
      </c>
      <c r="B163" s="2" t="s">
        <v>369</v>
      </c>
      <c r="C163" s="2" t="s">
        <v>72</v>
      </c>
      <c r="D163" s="2" t="s">
        <v>73</v>
      </c>
      <c r="E163" s="2" t="s">
        <v>81</v>
      </c>
      <c r="F163" s="2" t="s">
        <v>59</v>
      </c>
      <c r="G163" s="2" t="s">
        <v>44</v>
      </c>
      <c r="H163" s="3">
        <v>2261</v>
      </c>
      <c r="I163" s="4">
        <v>30</v>
      </c>
      <c r="J163" s="5">
        <v>3.92</v>
      </c>
      <c r="K163" s="4">
        <v>80</v>
      </c>
      <c r="L163" s="3">
        <f t="shared" si="6"/>
        <v>452.19999999999987</v>
      </c>
      <c r="M163" s="3">
        <f t="shared" si="7"/>
        <v>8.5522728642924744</v>
      </c>
      <c r="N163" s="3">
        <v>24.7</v>
      </c>
      <c r="O163" s="5">
        <f t="shared" si="8"/>
        <v>34.624586495111231</v>
      </c>
      <c r="P163" s="2" t="s">
        <v>69</v>
      </c>
    </row>
    <row r="164" spans="1:16" x14ac:dyDescent="0.2">
      <c r="A164" s="2" t="s">
        <v>370</v>
      </c>
      <c r="B164" s="2" t="s">
        <v>133</v>
      </c>
      <c r="C164" s="2" t="s">
        <v>119</v>
      </c>
      <c r="D164" s="2" t="s">
        <v>120</v>
      </c>
      <c r="E164" s="2" t="s">
        <v>33</v>
      </c>
      <c r="F164" s="2" t="s">
        <v>34</v>
      </c>
      <c r="G164" s="2" t="s">
        <v>98</v>
      </c>
      <c r="H164" s="3">
        <v>5723</v>
      </c>
      <c r="I164" s="4">
        <v>30</v>
      </c>
      <c r="J164" s="5">
        <v>4.75</v>
      </c>
      <c r="K164" s="4">
        <v>80</v>
      </c>
      <c r="L164" s="3">
        <f t="shared" si="6"/>
        <v>1144.5999999999997</v>
      </c>
      <c r="M164" s="3">
        <f t="shared" si="7"/>
        <v>23.883101654458429</v>
      </c>
      <c r="N164" s="3">
        <v>64.8</v>
      </c>
      <c r="O164" s="5">
        <f t="shared" si="8"/>
        <v>36.856638355645728</v>
      </c>
      <c r="P164" s="2" t="s">
        <v>36</v>
      </c>
    </row>
    <row r="165" spans="1:16" x14ac:dyDescent="0.2">
      <c r="A165" s="2" t="s">
        <v>371</v>
      </c>
      <c r="B165" s="2" t="s">
        <v>372</v>
      </c>
      <c r="C165" s="2" t="s">
        <v>175</v>
      </c>
      <c r="D165" s="2" t="s">
        <v>176</v>
      </c>
      <c r="E165" s="2" t="s">
        <v>58</v>
      </c>
      <c r="F165" s="2" t="s">
        <v>34</v>
      </c>
      <c r="G165" s="2" t="s">
        <v>35</v>
      </c>
      <c r="H165" s="3">
        <v>13577</v>
      </c>
      <c r="I165" s="4">
        <v>25</v>
      </c>
      <c r="J165" s="5">
        <v>4.67</v>
      </c>
      <c r="K165" s="4">
        <v>70</v>
      </c>
      <c r="L165" s="3">
        <f t="shared" si="6"/>
        <v>4073.1000000000008</v>
      </c>
      <c r="M165" s="3">
        <f t="shared" si="7"/>
        <v>53.746990800606589</v>
      </c>
      <c r="N165" s="3">
        <v>205.6</v>
      </c>
      <c r="O165" s="5">
        <f t="shared" si="8"/>
        <v>26.14153249056741</v>
      </c>
      <c r="P165" s="2" t="s">
        <v>36</v>
      </c>
    </row>
    <row r="166" spans="1:16" x14ac:dyDescent="0.2">
      <c r="A166" s="2" t="s">
        <v>373</v>
      </c>
      <c r="B166" s="2" t="s">
        <v>94</v>
      </c>
      <c r="C166" s="2" t="s">
        <v>26</v>
      </c>
      <c r="D166" s="2" t="s">
        <v>27</v>
      </c>
      <c r="E166" s="2" t="s">
        <v>58</v>
      </c>
      <c r="F166" s="2" t="s">
        <v>59</v>
      </c>
      <c r="G166" s="2" t="s">
        <v>22</v>
      </c>
      <c r="H166" s="3">
        <v>12419</v>
      </c>
      <c r="I166" s="4">
        <v>20</v>
      </c>
      <c r="J166" s="5">
        <v>3.94</v>
      </c>
      <c r="K166" s="4">
        <v>80</v>
      </c>
      <c r="L166" s="3">
        <f t="shared" si="6"/>
        <v>2483.7999999999993</v>
      </c>
      <c r="M166" s="3">
        <f t="shared" si="7"/>
        <v>59.891711449440436</v>
      </c>
      <c r="N166" s="3">
        <v>175.5</v>
      </c>
      <c r="O166" s="5">
        <f t="shared" si="8"/>
        <v>34.126331310222469</v>
      </c>
      <c r="P166" s="2" t="s">
        <v>36</v>
      </c>
    </row>
    <row r="167" spans="1:16" x14ac:dyDescent="0.2">
      <c r="A167" s="2" t="s">
        <v>374</v>
      </c>
      <c r="B167" s="2" t="s">
        <v>375</v>
      </c>
      <c r="C167" s="2" t="s">
        <v>47</v>
      </c>
      <c r="D167" s="2" t="s">
        <v>48</v>
      </c>
      <c r="E167" s="2" t="s">
        <v>68</v>
      </c>
      <c r="F167" s="2" t="s">
        <v>34</v>
      </c>
      <c r="G167" s="2" t="s">
        <v>44</v>
      </c>
      <c r="H167" s="3">
        <v>5872</v>
      </c>
      <c r="I167" s="4">
        <v>20</v>
      </c>
      <c r="J167" s="5">
        <v>4.33</v>
      </c>
      <c r="K167" s="4">
        <v>80</v>
      </c>
      <c r="L167" s="3">
        <f t="shared" si="6"/>
        <v>1174.3999999999996</v>
      </c>
      <c r="M167" s="3">
        <f t="shared" si="7"/>
        <v>29.289997059821314</v>
      </c>
      <c r="N167" s="3">
        <v>79.8</v>
      </c>
      <c r="O167" s="5">
        <f t="shared" si="8"/>
        <v>36.704256967194631</v>
      </c>
      <c r="P167" s="2" t="s">
        <v>69</v>
      </c>
    </row>
    <row r="168" spans="1:16" x14ac:dyDescent="0.2">
      <c r="A168" s="2" t="s">
        <v>376</v>
      </c>
      <c r="B168" s="2" t="s">
        <v>377</v>
      </c>
      <c r="C168" s="2" t="s">
        <v>56</v>
      </c>
      <c r="D168" s="2" t="s">
        <v>57</v>
      </c>
      <c r="E168" s="2" t="s">
        <v>81</v>
      </c>
      <c r="F168" s="2" t="s">
        <v>28</v>
      </c>
      <c r="G168" s="2" t="s">
        <v>22</v>
      </c>
      <c r="H168" s="3">
        <v>11794</v>
      </c>
      <c r="I168" s="4">
        <v>25</v>
      </c>
      <c r="J168" s="5">
        <v>4.66</v>
      </c>
      <c r="K168" s="4">
        <v>80</v>
      </c>
      <c r="L168" s="3">
        <f t="shared" si="6"/>
        <v>2358.7999999999993</v>
      </c>
      <c r="M168" s="3">
        <f t="shared" si="7"/>
        <v>53.304447870500134</v>
      </c>
      <c r="N168" s="3">
        <v>177.5</v>
      </c>
      <c r="O168" s="5">
        <f t="shared" si="8"/>
        <v>30.030674856619793</v>
      </c>
      <c r="P168" s="2" t="s">
        <v>36</v>
      </c>
    </row>
    <row r="169" spans="1:16" x14ac:dyDescent="0.2">
      <c r="A169" s="2" t="s">
        <v>378</v>
      </c>
      <c r="B169" s="2" t="s">
        <v>379</v>
      </c>
      <c r="C169" s="2" t="s">
        <v>26</v>
      </c>
      <c r="D169" s="2" t="s">
        <v>27</v>
      </c>
      <c r="E169" s="2" t="s">
        <v>41</v>
      </c>
      <c r="F169" s="2" t="s">
        <v>28</v>
      </c>
      <c r="G169" s="2" t="s">
        <v>35</v>
      </c>
      <c r="H169" s="3">
        <v>8383</v>
      </c>
      <c r="I169" s="4">
        <v>20</v>
      </c>
      <c r="J169" s="5">
        <v>5.46</v>
      </c>
      <c r="K169" s="4">
        <v>75</v>
      </c>
      <c r="L169" s="3">
        <f t="shared" si="6"/>
        <v>2095.75</v>
      </c>
      <c r="M169" s="3">
        <f t="shared" si="7"/>
        <v>43.107276954834333</v>
      </c>
      <c r="N169" s="3">
        <v>95.2</v>
      </c>
      <c r="O169" s="5">
        <f t="shared" si="8"/>
        <v>45.280753103817581</v>
      </c>
      <c r="P169" s="2" t="s">
        <v>36</v>
      </c>
    </row>
    <row r="170" spans="1:16" x14ac:dyDescent="0.2">
      <c r="A170" s="2" t="s">
        <v>380</v>
      </c>
      <c r="B170" s="2" t="s">
        <v>237</v>
      </c>
      <c r="C170" s="2" t="s">
        <v>72</v>
      </c>
      <c r="D170" s="2" t="s">
        <v>73</v>
      </c>
      <c r="E170" s="2" t="s">
        <v>68</v>
      </c>
      <c r="F170" s="2" t="s">
        <v>21</v>
      </c>
      <c r="G170" s="2" t="s">
        <v>44</v>
      </c>
      <c r="H170" s="3">
        <v>7340</v>
      </c>
      <c r="I170" s="4">
        <v>25</v>
      </c>
      <c r="J170" s="5">
        <v>5.28</v>
      </c>
      <c r="K170" s="4">
        <v>80</v>
      </c>
      <c r="L170" s="3">
        <f t="shared" si="6"/>
        <v>1467.9999999999998</v>
      </c>
      <c r="M170" s="3">
        <f t="shared" si="7"/>
        <v>35.291831639896451</v>
      </c>
      <c r="N170" s="3">
        <v>128</v>
      </c>
      <c r="O170" s="5">
        <f t="shared" si="8"/>
        <v>27.571743468669101</v>
      </c>
      <c r="P170" s="2" t="s">
        <v>36</v>
      </c>
    </row>
    <row r="171" spans="1:16" x14ac:dyDescent="0.2">
      <c r="A171" s="2" t="s">
        <v>381</v>
      </c>
      <c r="B171" s="2" t="s">
        <v>382</v>
      </c>
      <c r="C171" s="2" t="s">
        <v>26</v>
      </c>
      <c r="D171" s="2" t="s">
        <v>27</v>
      </c>
      <c r="E171" s="2" t="s">
        <v>88</v>
      </c>
      <c r="F171" s="2" t="s">
        <v>50</v>
      </c>
      <c r="G171" s="2" t="s">
        <v>98</v>
      </c>
      <c r="H171" s="3">
        <v>2059</v>
      </c>
      <c r="I171" s="4">
        <v>30</v>
      </c>
      <c r="J171" s="5">
        <v>4.91</v>
      </c>
      <c r="K171" s="4">
        <v>80</v>
      </c>
      <c r="L171" s="3">
        <f t="shared" si="6"/>
        <v>411.7999999999999</v>
      </c>
      <c r="M171" s="3">
        <f t="shared" si="7"/>
        <v>8.7521452849559669</v>
      </c>
      <c r="N171" s="3">
        <v>28.8</v>
      </c>
      <c r="O171" s="5">
        <f t="shared" si="8"/>
        <v>30.38939335054155</v>
      </c>
      <c r="P171" s="2" t="s">
        <v>36</v>
      </c>
    </row>
    <row r="172" spans="1:16" x14ac:dyDescent="0.2">
      <c r="A172" s="2" t="s">
        <v>383</v>
      </c>
      <c r="B172" s="2" t="s">
        <v>384</v>
      </c>
      <c r="C172" s="2" t="s">
        <v>175</v>
      </c>
      <c r="D172" s="2" t="s">
        <v>176</v>
      </c>
      <c r="E172" s="2" t="s">
        <v>74</v>
      </c>
      <c r="F172" s="2" t="s">
        <v>28</v>
      </c>
      <c r="G172" s="2" t="s">
        <v>22</v>
      </c>
      <c r="H172" s="3">
        <v>1928</v>
      </c>
      <c r="I172" s="4">
        <v>25</v>
      </c>
      <c r="J172" s="5">
        <v>4.88</v>
      </c>
      <c r="K172" s="4">
        <v>90</v>
      </c>
      <c r="L172" s="3">
        <f t="shared" si="6"/>
        <v>192.79999999999995</v>
      </c>
      <c r="M172" s="3">
        <f t="shared" si="7"/>
        <v>10.022860386085439</v>
      </c>
      <c r="N172" s="3">
        <v>25.7</v>
      </c>
      <c r="O172" s="5">
        <f t="shared" si="8"/>
        <v>38.999456755196263</v>
      </c>
      <c r="P172" s="2" t="s">
        <v>36</v>
      </c>
    </row>
    <row r="173" spans="1:16" x14ac:dyDescent="0.2">
      <c r="A173" s="2" t="s">
        <v>385</v>
      </c>
      <c r="B173" s="2" t="s">
        <v>267</v>
      </c>
      <c r="C173" s="2" t="s">
        <v>100</v>
      </c>
      <c r="D173" s="2" t="s">
        <v>32</v>
      </c>
      <c r="E173" s="2" t="s">
        <v>49</v>
      </c>
      <c r="F173" s="2" t="s">
        <v>50</v>
      </c>
      <c r="G173" s="2" t="s">
        <v>98</v>
      </c>
      <c r="H173" s="3">
        <v>15628</v>
      </c>
      <c r="I173" s="4">
        <v>30</v>
      </c>
      <c r="J173" s="5">
        <v>4.84</v>
      </c>
      <c r="K173" s="4">
        <v>70</v>
      </c>
      <c r="L173" s="3">
        <f t="shared" si="6"/>
        <v>4688.4000000000005</v>
      </c>
      <c r="M173" s="3">
        <f t="shared" si="7"/>
        <v>57.661084543472171</v>
      </c>
      <c r="N173" s="3">
        <v>195</v>
      </c>
      <c r="O173" s="5">
        <f t="shared" si="8"/>
        <v>29.569786945370346</v>
      </c>
      <c r="P173" s="2" t="s">
        <v>36</v>
      </c>
    </row>
    <row r="174" spans="1:16" x14ac:dyDescent="0.2">
      <c r="A174" s="2" t="s">
        <v>386</v>
      </c>
      <c r="B174" s="2" t="s">
        <v>228</v>
      </c>
      <c r="C174" s="2" t="s">
        <v>175</v>
      </c>
      <c r="D174" s="2" t="s">
        <v>176</v>
      </c>
      <c r="E174" s="2" t="s">
        <v>97</v>
      </c>
      <c r="F174" s="2" t="s">
        <v>34</v>
      </c>
      <c r="G174" s="2" t="s">
        <v>98</v>
      </c>
      <c r="H174" s="3">
        <v>17822</v>
      </c>
      <c r="I174" s="4">
        <v>25</v>
      </c>
      <c r="J174" s="5">
        <v>4.17</v>
      </c>
      <c r="K174" s="4">
        <v>85</v>
      </c>
      <c r="L174" s="3">
        <f t="shared" si="6"/>
        <v>2673.3</v>
      </c>
      <c r="M174" s="3">
        <f t="shared" si="7"/>
        <v>81.389203024259032</v>
      </c>
      <c r="N174" s="3">
        <v>254</v>
      </c>
      <c r="O174" s="5">
        <f t="shared" si="8"/>
        <v>32.042993316637414</v>
      </c>
      <c r="P174" s="2" t="s">
        <v>36</v>
      </c>
    </row>
    <row r="175" spans="1:16" x14ac:dyDescent="0.2">
      <c r="A175" s="2" t="s">
        <v>387</v>
      </c>
      <c r="B175" s="2" t="s">
        <v>388</v>
      </c>
      <c r="C175" s="2" t="s">
        <v>131</v>
      </c>
      <c r="D175" s="2" t="s">
        <v>27</v>
      </c>
      <c r="E175" s="2" t="s">
        <v>107</v>
      </c>
      <c r="F175" s="2" t="s">
        <v>59</v>
      </c>
      <c r="G175" s="2" t="s">
        <v>44</v>
      </c>
      <c r="H175" s="3">
        <v>6008</v>
      </c>
      <c r="I175" s="4">
        <v>30</v>
      </c>
      <c r="J175" s="5">
        <v>4.63</v>
      </c>
      <c r="K175" s="4">
        <v>75</v>
      </c>
      <c r="L175" s="3">
        <f t="shared" si="6"/>
        <v>1502</v>
      </c>
      <c r="M175" s="3">
        <f t="shared" si="7"/>
        <v>23.180612464100427</v>
      </c>
      <c r="N175" s="3">
        <v>97.5</v>
      </c>
      <c r="O175" s="5">
        <f t="shared" si="8"/>
        <v>23.774987142667108</v>
      </c>
      <c r="P175" s="2" t="s">
        <v>36</v>
      </c>
    </row>
    <row r="176" spans="1:16" x14ac:dyDescent="0.2">
      <c r="A176" s="2" t="s">
        <v>389</v>
      </c>
      <c r="B176" s="2" t="s">
        <v>390</v>
      </c>
      <c r="C176" s="2" t="s">
        <v>84</v>
      </c>
      <c r="D176" s="2" t="s">
        <v>85</v>
      </c>
      <c r="E176" s="2" t="s">
        <v>107</v>
      </c>
      <c r="F176" s="2" t="s">
        <v>59</v>
      </c>
      <c r="G176" s="2" t="s">
        <v>44</v>
      </c>
      <c r="H176" s="3">
        <v>11337</v>
      </c>
      <c r="I176" s="4">
        <v>15</v>
      </c>
      <c r="J176" s="5">
        <v>4.4400000000000004</v>
      </c>
      <c r="K176" s="4">
        <v>85</v>
      </c>
      <c r="L176" s="3">
        <f t="shared" si="6"/>
        <v>1700.5500000000002</v>
      </c>
      <c r="M176" s="3">
        <f t="shared" si="7"/>
        <v>73.423042742843307</v>
      </c>
      <c r="N176" s="3">
        <v>162.19999999999999</v>
      </c>
      <c r="O176" s="5">
        <f t="shared" si="8"/>
        <v>45.26698072924988</v>
      </c>
      <c r="P176" s="2" t="s">
        <v>36</v>
      </c>
    </row>
    <row r="177" spans="1:16" x14ac:dyDescent="0.2">
      <c r="A177" s="2" t="s">
        <v>391</v>
      </c>
      <c r="B177" s="2" t="s">
        <v>392</v>
      </c>
      <c r="C177" s="2" t="s">
        <v>39</v>
      </c>
      <c r="D177" s="2" t="s">
        <v>40</v>
      </c>
      <c r="E177" s="2" t="s">
        <v>64</v>
      </c>
      <c r="F177" s="2" t="s">
        <v>21</v>
      </c>
      <c r="G177" s="2" t="s">
        <v>44</v>
      </c>
      <c r="H177" s="3">
        <v>8747</v>
      </c>
      <c r="I177" s="4">
        <v>30</v>
      </c>
      <c r="J177" s="5">
        <v>4.57</v>
      </c>
      <c r="K177" s="4">
        <v>75</v>
      </c>
      <c r="L177" s="3">
        <f t="shared" si="6"/>
        <v>2186.75</v>
      </c>
      <c r="M177" s="3">
        <f t="shared" si="7"/>
        <v>33.513235761334762</v>
      </c>
      <c r="N177" s="3">
        <v>152.1</v>
      </c>
      <c r="O177" s="5">
        <f t="shared" si="8"/>
        <v>22.033685576156977</v>
      </c>
      <c r="P177" s="2" t="s">
        <v>36</v>
      </c>
    </row>
    <row r="178" spans="1:16" x14ac:dyDescent="0.2">
      <c r="A178" s="2" t="s">
        <v>393</v>
      </c>
      <c r="B178" s="2" t="s">
        <v>394</v>
      </c>
      <c r="C178" s="2" t="s">
        <v>32</v>
      </c>
      <c r="D178" s="2" t="s">
        <v>32</v>
      </c>
      <c r="E178" s="2" t="s">
        <v>68</v>
      </c>
      <c r="F178" s="2" t="s">
        <v>50</v>
      </c>
      <c r="G178" s="2" t="s">
        <v>44</v>
      </c>
      <c r="H178" s="3">
        <v>13141</v>
      </c>
      <c r="I178" s="4">
        <v>25</v>
      </c>
      <c r="J178" s="5">
        <v>4.6900000000000004</v>
      </c>
      <c r="K178" s="4">
        <v>80</v>
      </c>
      <c r="L178" s="3">
        <f t="shared" si="6"/>
        <v>2628.1999999999994</v>
      </c>
      <c r="M178" s="3">
        <f t="shared" si="7"/>
        <v>59.573068633559487</v>
      </c>
      <c r="N178" s="3">
        <v>214.4</v>
      </c>
      <c r="O178" s="5">
        <f t="shared" si="8"/>
        <v>27.785946191025879</v>
      </c>
      <c r="P178" s="2" t="s">
        <v>23</v>
      </c>
    </row>
    <row r="179" spans="1:16" x14ac:dyDescent="0.2">
      <c r="A179" s="2" t="s">
        <v>395</v>
      </c>
      <c r="B179" s="2" t="s">
        <v>396</v>
      </c>
      <c r="C179" s="2" t="s">
        <v>153</v>
      </c>
      <c r="D179" s="2" t="s">
        <v>19</v>
      </c>
      <c r="E179" s="2" t="s">
        <v>74</v>
      </c>
      <c r="F179" s="2" t="s">
        <v>50</v>
      </c>
      <c r="G179" s="2" t="s">
        <v>22</v>
      </c>
      <c r="H179" s="3">
        <v>4336</v>
      </c>
      <c r="I179" s="4">
        <v>25</v>
      </c>
      <c r="J179" s="5">
        <v>4.42</v>
      </c>
      <c r="K179" s="4">
        <v>80</v>
      </c>
      <c r="L179" s="3">
        <f t="shared" si="6"/>
        <v>867.19999999999982</v>
      </c>
      <c r="M179" s="3">
        <f t="shared" si="7"/>
        <v>19.123543768685916</v>
      </c>
      <c r="N179" s="3">
        <v>74</v>
      </c>
      <c r="O179" s="5">
        <f t="shared" si="8"/>
        <v>25.842626714440424</v>
      </c>
      <c r="P179" s="2" t="s">
        <v>36</v>
      </c>
    </row>
    <row r="180" spans="1:16" x14ac:dyDescent="0.2">
      <c r="A180" s="2" t="s">
        <v>397</v>
      </c>
      <c r="B180" s="2" t="s">
        <v>130</v>
      </c>
      <c r="C180" s="2" t="s">
        <v>175</v>
      </c>
      <c r="D180" s="2" t="s">
        <v>176</v>
      </c>
      <c r="E180" s="2" t="s">
        <v>20</v>
      </c>
      <c r="F180" s="2" t="s">
        <v>21</v>
      </c>
      <c r="G180" s="2" t="s">
        <v>98</v>
      </c>
      <c r="H180" s="3">
        <v>2424</v>
      </c>
      <c r="I180" s="4">
        <v>20</v>
      </c>
      <c r="J180" s="5">
        <v>4.2300000000000004</v>
      </c>
      <c r="K180" s="4">
        <v>80</v>
      </c>
      <c r="L180" s="3">
        <f t="shared" si="6"/>
        <v>484.7999999999999</v>
      </c>
      <c r="M180" s="3">
        <f t="shared" si="7"/>
        <v>11.987517799212265</v>
      </c>
      <c r="N180" s="3">
        <v>26</v>
      </c>
      <c r="O180" s="5">
        <f t="shared" si="8"/>
        <v>46.105837689277941</v>
      </c>
      <c r="P180" s="2" t="s">
        <v>36</v>
      </c>
    </row>
    <row r="181" spans="1:16" x14ac:dyDescent="0.2">
      <c r="A181" s="2" t="s">
        <v>398</v>
      </c>
      <c r="B181" s="2" t="s">
        <v>399</v>
      </c>
      <c r="C181" s="2" t="s">
        <v>72</v>
      </c>
      <c r="D181" s="2" t="s">
        <v>73</v>
      </c>
      <c r="E181" s="2" t="s">
        <v>49</v>
      </c>
      <c r="F181" s="2" t="s">
        <v>59</v>
      </c>
      <c r="G181" s="2" t="s">
        <v>98</v>
      </c>
      <c r="H181" s="3">
        <v>6396</v>
      </c>
      <c r="I181" s="4">
        <v>20</v>
      </c>
      <c r="J181" s="5">
        <v>4.72</v>
      </c>
      <c r="K181" s="4">
        <v>90</v>
      </c>
      <c r="L181" s="3">
        <f t="shared" si="6"/>
        <v>639.59999999999991</v>
      </c>
      <c r="M181" s="3">
        <f t="shared" si="7"/>
        <v>37.104968810344971</v>
      </c>
      <c r="N181" s="3">
        <v>113.4</v>
      </c>
      <c r="O181" s="5">
        <f t="shared" si="8"/>
        <v>32.720431049686923</v>
      </c>
      <c r="P181" s="2" t="s">
        <v>36</v>
      </c>
    </row>
    <row r="182" spans="1:16" x14ac:dyDescent="0.2">
      <c r="A182" s="2" t="s">
        <v>400</v>
      </c>
      <c r="B182" s="2" t="s">
        <v>401</v>
      </c>
      <c r="C182" s="2" t="s">
        <v>67</v>
      </c>
      <c r="D182" s="2" t="s">
        <v>67</v>
      </c>
      <c r="E182" s="2" t="s">
        <v>49</v>
      </c>
      <c r="F182" s="2" t="s">
        <v>28</v>
      </c>
      <c r="G182" s="2" t="s">
        <v>22</v>
      </c>
      <c r="H182" s="3">
        <v>6332</v>
      </c>
      <c r="I182" s="4">
        <v>25</v>
      </c>
      <c r="J182" s="5">
        <v>5.71</v>
      </c>
      <c r="K182" s="4">
        <v>80</v>
      </c>
      <c r="L182" s="3">
        <f t="shared" si="6"/>
        <v>1266.3999999999996</v>
      </c>
      <c r="M182" s="3">
        <f t="shared" si="7"/>
        <v>31.745682784715871</v>
      </c>
      <c r="N182" s="3">
        <v>88.6</v>
      </c>
      <c r="O182" s="5">
        <f t="shared" si="8"/>
        <v>35.830341743471635</v>
      </c>
      <c r="P182" s="2" t="s">
        <v>29</v>
      </c>
    </row>
    <row r="183" spans="1:16" x14ac:dyDescent="0.2">
      <c r="A183" s="2" t="s">
        <v>402</v>
      </c>
      <c r="B183" s="2" t="s">
        <v>403</v>
      </c>
      <c r="C183" s="2" t="s">
        <v>56</v>
      </c>
      <c r="D183" s="2" t="s">
        <v>57</v>
      </c>
      <c r="E183" s="2" t="s">
        <v>81</v>
      </c>
      <c r="F183" s="2" t="s">
        <v>28</v>
      </c>
      <c r="G183" s="2" t="s">
        <v>22</v>
      </c>
      <c r="H183" s="3">
        <v>9063</v>
      </c>
      <c r="I183" s="4">
        <v>20</v>
      </c>
      <c r="J183" s="5">
        <v>5.25</v>
      </c>
      <c r="K183" s="4">
        <v>80</v>
      </c>
      <c r="L183" s="3">
        <f t="shared" si="6"/>
        <v>1812.5999999999997</v>
      </c>
      <c r="M183" s="3">
        <f t="shared" si="7"/>
        <v>48.856397436687452</v>
      </c>
      <c r="N183" s="3">
        <v>152</v>
      </c>
      <c r="O183" s="5">
        <f t="shared" si="8"/>
        <v>32.142366734662801</v>
      </c>
      <c r="P183" s="2" t="s">
        <v>36</v>
      </c>
    </row>
    <row r="184" spans="1:16" x14ac:dyDescent="0.2">
      <c r="A184" s="2" t="s">
        <v>404</v>
      </c>
      <c r="B184" s="2" t="s">
        <v>405</v>
      </c>
      <c r="C184" s="2" t="s">
        <v>77</v>
      </c>
      <c r="D184" s="2" t="s">
        <v>19</v>
      </c>
      <c r="E184" s="2" t="s">
        <v>74</v>
      </c>
      <c r="F184" s="2" t="s">
        <v>50</v>
      </c>
      <c r="G184" s="2" t="s">
        <v>22</v>
      </c>
      <c r="H184" s="3">
        <v>14694</v>
      </c>
      <c r="I184" s="4">
        <v>20</v>
      </c>
      <c r="J184" s="5">
        <v>4.71</v>
      </c>
      <c r="K184" s="4">
        <v>80</v>
      </c>
      <c r="L184" s="3">
        <f t="shared" si="6"/>
        <v>2938.7999999999993</v>
      </c>
      <c r="M184" s="3">
        <f t="shared" si="7"/>
        <v>75.708319392125745</v>
      </c>
      <c r="N184" s="3">
        <v>171.6</v>
      </c>
      <c r="O184" s="5">
        <f t="shared" si="8"/>
        <v>44.119067244828528</v>
      </c>
      <c r="P184" s="2" t="s">
        <v>36</v>
      </c>
    </row>
    <row r="185" spans="1:16" x14ac:dyDescent="0.2">
      <c r="A185" s="2" t="s">
        <v>406</v>
      </c>
      <c r="B185" s="2" t="s">
        <v>407</v>
      </c>
      <c r="C185" s="2" t="s">
        <v>91</v>
      </c>
      <c r="D185" s="2" t="s">
        <v>92</v>
      </c>
      <c r="E185" s="2" t="s">
        <v>74</v>
      </c>
      <c r="F185" s="2" t="s">
        <v>28</v>
      </c>
      <c r="G185" s="2" t="s">
        <v>35</v>
      </c>
      <c r="H185" s="3">
        <v>15176</v>
      </c>
      <c r="I185" s="4">
        <v>30</v>
      </c>
      <c r="J185" s="5">
        <v>5.23</v>
      </c>
      <c r="K185" s="4">
        <v>80</v>
      </c>
      <c r="L185" s="3">
        <f t="shared" si="6"/>
        <v>3035.1999999999994</v>
      </c>
      <c r="M185" s="3">
        <f t="shared" si="7"/>
        <v>66.891631093355443</v>
      </c>
      <c r="N185" s="3">
        <v>211.3</v>
      </c>
      <c r="O185" s="5">
        <f t="shared" si="8"/>
        <v>31.657184615880475</v>
      </c>
      <c r="P185" s="2" t="s">
        <v>36</v>
      </c>
    </row>
    <row r="186" spans="1:16" x14ac:dyDescent="0.2">
      <c r="A186" s="2" t="s">
        <v>408</v>
      </c>
      <c r="B186" s="2" t="s">
        <v>409</v>
      </c>
      <c r="C186" s="2" t="s">
        <v>146</v>
      </c>
      <c r="D186" s="2" t="s">
        <v>19</v>
      </c>
      <c r="E186" s="2" t="s">
        <v>156</v>
      </c>
      <c r="F186" s="2" t="s">
        <v>34</v>
      </c>
      <c r="G186" s="2" t="s">
        <v>35</v>
      </c>
      <c r="H186" s="3">
        <v>16990</v>
      </c>
      <c r="I186" s="4">
        <v>20</v>
      </c>
      <c r="J186" s="5">
        <v>4.62</v>
      </c>
      <c r="K186" s="4">
        <v>80</v>
      </c>
      <c r="L186" s="3">
        <f t="shared" si="6"/>
        <v>3397.9999999999991</v>
      </c>
      <c r="M186" s="3">
        <f t="shared" si="7"/>
        <v>86.87261840504901</v>
      </c>
      <c r="N186" s="3">
        <v>287.60000000000002</v>
      </c>
      <c r="O186" s="5">
        <f t="shared" si="8"/>
        <v>30.206056469071278</v>
      </c>
      <c r="P186" s="2" t="s">
        <v>23</v>
      </c>
    </row>
    <row r="187" spans="1:16" x14ac:dyDescent="0.2">
      <c r="A187" s="2" t="s">
        <v>410</v>
      </c>
      <c r="B187" s="2" t="s">
        <v>411</v>
      </c>
      <c r="C187" s="2" t="s">
        <v>62</v>
      </c>
      <c r="D187" s="2" t="s">
        <v>63</v>
      </c>
      <c r="E187" s="2" t="s">
        <v>64</v>
      </c>
      <c r="F187" s="2" t="s">
        <v>50</v>
      </c>
      <c r="G187" s="2" t="s">
        <v>98</v>
      </c>
      <c r="H187" s="3">
        <v>13997</v>
      </c>
      <c r="I187" s="4">
        <v>15</v>
      </c>
      <c r="J187" s="5">
        <v>5.17</v>
      </c>
      <c r="K187" s="4">
        <v>80</v>
      </c>
      <c r="L187" s="3">
        <f t="shared" si="6"/>
        <v>2799.3999999999992</v>
      </c>
      <c r="M187" s="3">
        <f t="shared" si="7"/>
        <v>89.544691772234742</v>
      </c>
      <c r="N187" s="3">
        <v>210.1</v>
      </c>
      <c r="O187" s="5">
        <f t="shared" si="8"/>
        <v>42.620034160987501</v>
      </c>
      <c r="P187" s="2" t="s">
        <v>36</v>
      </c>
    </row>
    <row r="188" spans="1:16" x14ac:dyDescent="0.2">
      <c r="A188" s="2" t="s">
        <v>412</v>
      </c>
      <c r="B188" s="2" t="s">
        <v>413</v>
      </c>
      <c r="C188" s="2" t="s">
        <v>153</v>
      </c>
      <c r="D188" s="2" t="s">
        <v>19</v>
      </c>
      <c r="E188" s="2" t="s">
        <v>68</v>
      </c>
      <c r="F188" s="2" t="s">
        <v>21</v>
      </c>
      <c r="G188" s="2" t="s">
        <v>22</v>
      </c>
      <c r="H188" s="3">
        <v>6177</v>
      </c>
      <c r="I188" s="4">
        <v>25</v>
      </c>
      <c r="J188" s="5">
        <v>4.53</v>
      </c>
      <c r="K188" s="4">
        <v>70</v>
      </c>
      <c r="L188" s="3">
        <f t="shared" si="6"/>
        <v>1853.1000000000004</v>
      </c>
      <c r="M188" s="3">
        <f t="shared" si="7"/>
        <v>24.107327544294691</v>
      </c>
      <c r="N188" s="3">
        <v>71.3</v>
      </c>
      <c r="O188" s="5">
        <f t="shared" si="8"/>
        <v>33.811118575448376</v>
      </c>
      <c r="P188" s="2" t="s">
        <v>36</v>
      </c>
    </row>
    <row r="189" spans="1:16" x14ac:dyDescent="0.2">
      <c r="A189" s="2" t="s">
        <v>414</v>
      </c>
      <c r="B189" s="2" t="s">
        <v>415</v>
      </c>
      <c r="C189" s="2" t="s">
        <v>72</v>
      </c>
      <c r="D189" s="2" t="s">
        <v>73</v>
      </c>
      <c r="E189" s="2" t="s">
        <v>114</v>
      </c>
      <c r="F189" s="2" t="s">
        <v>50</v>
      </c>
      <c r="G189" s="2" t="s">
        <v>44</v>
      </c>
      <c r="H189" s="3">
        <v>12155</v>
      </c>
      <c r="I189" s="4">
        <v>30</v>
      </c>
      <c r="J189" s="5">
        <v>4.74</v>
      </c>
      <c r="K189" s="4">
        <v>80</v>
      </c>
      <c r="L189" s="3">
        <f t="shared" si="6"/>
        <v>2430.9999999999995</v>
      </c>
      <c r="M189" s="3">
        <f t="shared" si="7"/>
        <v>50.666391558016151</v>
      </c>
      <c r="N189" s="3">
        <v>136.30000000000001</v>
      </c>
      <c r="O189" s="5">
        <f t="shared" si="8"/>
        <v>37.172701069711039</v>
      </c>
      <c r="P189" s="2" t="s">
        <v>69</v>
      </c>
    </row>
    <row r="190" spans="1:16" x14ac:dyDescent="0.2">
      <c r="A190" s="2" t="s">
        <v>416</v>
      </c>
      <c r="B190" s="2" t="s">
        <v>152</v>
      </c>
      <c r="C190" s="2" t="s">
        <v>119</v>
      </c>
      <c r="D190" s="2" t="s">
        <v>120</v>
      </c>
      <c r="E190" s="2" t="s">
        <v>78</v>
      </c>
      <c r="F190" s="2" t="s">
        <v>50</v>
      </c>
      <c r="G190" s="2" t="s">
        <v>35</v>
      </c>
      <c r="H190" s="3">
        <v>9115</v>
      </c>
      <c r="I190" s="4">
        <v>20</v>
      </c>
      <c r="J190" s="5">
        <v>5.61</v>
      </c>
      <c r="K190" s="4">
        <v>80</v>
      </c>
      <c r="L190" s="3">
        <f t="shared" si="6"/>
        <v>1822.9999999999995</v>
      </c>
      <c r="M190" s="3">
        <f t="shared" si="7"/>
        <v>50.614856968341982</v>
      </c>
      <c r="N190" s="3">
        <v>164.3</v>
      </c>
      <c r="O190" s="5">
        <f t="shared" si="8"/>
        <v>30.80636455772488</v>
      </c>
      <c r="P190" s="2" t="s">
        <v>36</v>
      </c>
    </row>
    <row r="191" spans="1:16" x14ac:dyDescent="0.2">
      <c r="A191" s="2" t="s">
        <v>417</v>
      </c>
      <c r="B191" s="2" t="s">
        <v>418</v>
      </c>
      <c r="C191" s="2" t="s">
        <v>142</v>
      </c>
      <c r="D191" s="2" t="s">
        <v>143</v>
      </c>
      <c r="E191" s="2" t="s">
        <v>68</v>
      </c>
      <c r="F191" s="2" t="s">
        <v>21</v>
      </c>
      <c r="G191" s="2" t="s">
        <v>35</v>
      </c>
      <c r="H191" s="3">
        <v>16587</v>
      </c>
      <c r="I191" s="4">
        <v>30</v>
      </c>
      <c r="J191" s="5">
        <v>5.43</v>
      </c>
      <c r="K191" s="4">
        <v>75</v>
      </c>
      <c r="L191" s="3">
        <f t="shared" si="6"/>
        <v>4146.75</v>
      </c>
      <c r="M191" s="3">
        <f t="shared" si="7"/>
        <v>70.088978194258701</v>
      </c>
      <c r="N191" s="3">
        <v>194.7</v>
      </c>
      <c r="O191" s="5">
        <f t="shared" si="8"/>
        <v>35.998447968289007</v>
      </c>
      <c r="P191" s="2" t="s">
        <v>36</v>
      </c>
    </row>
    <row r="192" spans="1:16" x14ac:dyDescent="0.2">
      <c r="A192" s="2" t="s">
        <v>419</v>
      </c>
      <c r="B192" s="2" t="s">
        <v>87</v>
      </c>
      <c r="C192" s="2" t="s">
        <v>67</v>
      </c>
      <c r="D192" s="2" t="s">
        <v>67</v>
      </c>
      <c r="E192" s="2" t="s">
        <v>107</v>
      </c>
      <c r="F192" s="2" t="s">
        <v>21</v>
      </c>
      <c r="G192" s="2" t="s">
        <v>44</v>
      </c>
      <c r="H192" s="3">
        <v>13135</v>
      </c>
      <c r="I192" s="4">
        <v>20</v>
      </c>
      <c r="J192" s="5">
        <v>3.96</v>
      </c>
      <c r="K192" s="4">
        <v>80</v>
      </c>
      <c r="L192" s="3">
        <f t="shared" si="6"/>
        <v>2626.9999999999995</v>
      </c>
      <c r="M192" s="3">
        <f t="shared" si="7"/>
        <v>63.455151142763874</v>
      </c>
      <c r="N192" s="3">
        <v>185.1</v>
      </c>
      <c r="O192" s="5">
        <f t="shared" si="8"/>
        <v>34.281551130612577</v>
      </c>
      <c r="P192" s="2" t="s">
        <v>29</v>
      </c>
    </row>
    <row r="193" spans="1:16" x14ac:dyDescent="0.2">
      <c r="A193" s="2" t="s">
        <v>420</v>
      </c>
      <c r="B193" s="2" t="s">
        <v>365</v>
      </c>
      <c r="C193" s="2" t="s">
        <v>72</v>
      </c>
      <c r="D193" s="2" t="s">
        <v>73</v>
      </c>
      <c r="E193" s="2" t="s">
        <v>114</v>
      </c>
      <c r="F193" s="2" t="s">
        <v>59</v>
      </c>
      <c r="G193" s="2" t="s">
        <v>35</v>
      </c>
      <c r="H193" s="3">
        <v>4101</v>
      </c>
      <c r="I193" s="4">
        <v>30</v>
      </c>
      <c r="J193" s="5">
        <v>4.63</v>
      </c>
      <c r="K193" s="4">
        <v>80</v>
      </c>
      <c r="L193" s="3">
        <f t="shared" si="6"/>
        <v>820.19999999999982</v>
      </c>
      <c r="M193" s="3">
        <f t="shared" si="7"/>
        <v>16.877708249494159</v>
      </c>
      <c r="N193" s="3">
        <v>53.5</v>
      </c>
      <c r="O193" s="5">
        <f t="shared" si="8"/>
        <v>31.547118223353564</v>
      </c>
      <c r="P193" s="2" t="s">
        <v>36</v>
      </c>
    </row>
    <row r="194" spans="1:16" x14ac:dyDescent="0.2">
      <c r="A194" s="2" t="s">
        <v>421</v>
      </c>
      <c r="B194" s="2" t="s">
        <v>388</v>
      </c>
      <c r="C194" s="2" t="s">
        <v>32</v>
      </c>
      <c r="D194" s="2" t="s">
        <v>32</v>
      </c>
      <c r="E194" s="2" t="s">
        <v>58</v>
      </c>
      <c r="F194" s="2" t="s">
        <v>59</v>
      </c>
      <c r="G194" s="2" t="s">
        <v>22</v>
      </c>
      <c r="H194" s="3">
        <v>16726</v>
      </c>
      <c r="I194" s="4">
        <v>20</v>
      </c>
      <c r="J194" s="5">
        <v>5.22</v>
      </c>
      <c r="K194" s="4">
        <v>80</v>
      </c>
      <c r="L194" s="3">
        <f t="shared" ref="L194:L257" si="9">H194*(1-K194/100)</f>
        <v>3345.1999999999994</v>
      </c>
      <c r="M194" s="3">
        <f t="shared" ref="M194:M257" si="10">PMT(J194/100/12, I194*12, -(H194*K194/100))</f>
        <v>89.941636932016152</v>
      </c>
      <c r="N194" s="3">
        <v>253.6</v>
      </c>
      <c r="O194" s="5">
        <f t="shared" ref="O194:O257" si="11">IFERROR(M194/N194*100,0)</f>
        <v>35.465945162466937</v>
      </c>
      <c r="P194" s="2" t="s">
        <v>23</v>
      </c>
    </row>
    <row r="195" spans="1:16" x14ac:dyDescent="0.2">
      <c r="A195" s="2" t="s">
        <v>422</v>
      </c>
      <c r="B195" s="2" t="s">
        <v>423</v>
      </c>
      <c r="C195" s="2" t="s">
        <v>142</v>
      </c>
      <c r="D195" s="2" t="s">
        <v>143</v>
      </c>
      <c r="E195" s="2" t="s">
        <v>78</v>
      </c>
      <c r="F195" s="2" t="s">
        <v>21</v>
      </c>
      <c r="G195" s="2" t="s">
        <v>44</v>
      </c>
      <c r="H195" s="3">
        <v>12275</v>
      </c>
      <c r="I195" s="4">
        <v>15</v>
      </c>
      <c r="J195" s="5">
        <v>4.92</v>
      </c>
      <c r="K195" s="4">
        <v>80</v>
      </c>
      <c r="L195" s="3">
        <f t="shared" si="9"/>
        <v>2454.9999999999995</v>
      </c>
      <c r="M195" s="3">
        <f t="shared" si="10"/>
        <v>77.247314527168996</v>
      </c>
      <c r="N195" s="3">
        <v>145</v>
      </c>
      <c r="O195" s="5">
        <f t="shared" si="11"/>
        <v>53.274010018737236</v>
      </c>
      <c r="P195" s="2" t="s">
        <v>36</v>
      </c>
    </row>
    <row r="196" spans="1:16" x14ac:dyDescent="0.2">
      <c r="A196" s="2" t="s">
        <v>424</v>
      </c>
      <c r="B196" s="2" t="s">
        <v>292</v>
      </c>
      <c r="C196" s="2" t="s">
        <v>119</v>
      </c>
      <c r="D196" s="2" t="s">
        <v>120</v>
      </c>
      <c r="E196" s="2" t="s">
        <v>88</v>
      </c>
      <c r="F196" s="2" t="s">
        <v>28</v>
      </c>
      <c r="G196" s="2" t="s">
        <v>98</v>
      </c>
      <c r="H196" s="3">
        <v>12246</v>
      </c>
      <c r="I196" s="4">
        <v>30</v>
      </c>
      <c r="J196" s="5">
        <v>4.38</v>
      </c>
      <c r="K196" s="4">
        <v>90</v>
      </c>
      <c r="L196" s="3">
        <f t="shared" si="9"/>
        <v>1224.5999999999997</v>
      </c>
      <c r="M196" s="3">
        <f t="shared" si="10"/>
        <v>55.060733636071497</v>
      </c>
      <c r="N196" s="3">
        <v>170</v>
      </c>
      <c r="O196" s="5">
        <f t="shared" si="11"/>
        <v>32.388666844747938</v>
      </c>
      <c r="P196" s="2" t="s">
        <v>69</v>
      </c>
    </row>
    <row r="197" spans="1:16" x14ac:dyDescent="0.2">
      <c r="A197" s="2" t="s">
        <v>425</v>
      </c>
      <c r="B197" s="2" t="s">
        <v>302</v>
      </c>
      <c r="C197" s="2" t="s">
        <v>26</v>
      </c>
      <c r="D197" s="2" t="s">
        <v>27</v>
      </c>
      <c r="E197" s="2" t="s">
        <v>64</v>
      </c>
      <c r="F197" s="2" t="s">
        <v>50</v>
      </c>
      <c r="G197" s="2" t="s">
        <v>35</v>
      </c>
      <c r="H197" s="3">
        <v>17196</v>
      </c>
      <c r="I197" s="4">
        <v>30</v>
      </c>
      <c r="J197" s="5">
        <v>4.67</v>
      </c>
      <c r="K197" s="4">
        <v>90</v>
      </c>
      <c r="L197" s="3">
        <f t="shared" si="9"/>
        <v>1719.5999999999997</v>
      </c>
      <c r="M197" s="3">
        <f t="shared" si="10"/>
        <v>79.987635090948885</v>
      </c>
      <c r="N197" s="3">
        <v>289.39999999999998</v>
      </c>
      <c r="O197" s="5">
        <f t="shared" si="11"/>
        <v>27.639127536609848</v>
      </c>
      <c r="P197" s="2" t="s">
        <v>23</v>
      </c>
    </row>
    <row r="198" spans="1:16" x14ac:dyDescent="0.2">
      <c r="A198" s="2" t="s">
        <v>426</v>
      </c>
      <c r="B198" s="2" t="s">
        <v>309</v>
      </c>
      <c r="C198" s="2" t="s">
        <v>62</v>
      </c>
      <c r="D198" s="2" t="s">
        <v>63</v>
      </c>
      <c r="E198" s="2" t="s">
        <v>41</v>
      </c>
      <c r="F198" s="2" t="s">
        <v>21</v>
      </c>
      <c r="G198" s="2" t="s">
        <v>22</v>
      </c>
      <c r="H198" s="3">
        <v>16662</v>
      </c>
      <c r="I198" s="4">
        <v>20</v>
      </c>
      <c r="J198" s="5">
        <v>5.73</v>
      </c>
      <c r="K198" s="4">
        <v>80</v>
      </c>
      <c r="L198" s="3">
        <f t="shared" si="9"/>
        <v>3332.3999999999992</v>
      </c>
      <c r="M198" s="3">
        <f t="shared" si="10"/>
        <v>93.432794053256558</v>
      </c>
      <c r="N198" s="3">
        <v>201</v>
      </c>
      <c r="O198" s="5">
        <f t="shared" si="11"/>
        <v>46.483977140923663</v>
      </c>
      <c r="P198" s="2" t="s">
        <v>36</v>
      </c>
    </row>
    <row r="199" spans="1:16" x14ac:dyDescent="0.2">
      <c r="A199" s="2" t="s">
        <v>427</v>
      </c>
      <c r="B199" s="2" t="s">
        <v>428</v>
      </c>
      <c r="C199" s="2" t="s">
        <v>153</v>
      </c>
      <c r="D199" s="2" t="s">
        <v>19</v>
      </c>
      <c r="E199" s="2" t="s">
        <v>88</v>
      </c>
      <c r="F199" s="2" t="s">
        <v>50</v>
      </c>
      <c r="G199" s="2" t="s">
        <v>22</v>
      </c>
      <c r="H199" s="3">
        <v>4561</v>
      </c>
      <c r="I199" s="4">
        <v>30</v>
      </c>
      <c r="J199" s="5">
        <v>4.41</v>
      </c>
      <c r="K199" s="4">
        <v>80</v>
      </c>
      <c r="L199" s="3">
        <f t="shared" si="9"/>
        <v>912.19999999999982</v>
      </c>
      <c r="M199" s="3">
        <f t="shared" si="10"/>
        <v>18.293323848040068</v>
      </c>
      <c r="N199" s="3">
        <v>75.8</v>
      </c>
      <c r="O199" s="5">
        <f t="shared" si="11"/>
        <v>24.133672622744154</v>
      </c>
      <c r="P199" s="2" t="s">
        <v>36</v>
      </c>
    </row>
    <row r="200" spans="1:16" x14ac:dyDescent="0.2">
      <c r="A200" s="2" t="s">
        <v>429</v>
      </c>
      <c r="B200" s="2" t="s">
        <v>174</v>
      </c>
      <c r="C200" s="2" t="s">
        <v>100</v>
      </c>
      <c r="D200" s="2" t="s">
        <v>32</v>
      </c>
      <c r="E200" s="2" t="s">
        <v>78</v>
      </c>
      <c r="F200" s="2" t="s">
        <v>59</v>
      </c>
      <c r="G200" s="2" t="s">
        <v>44</v>
      </c>
      <c r="H200" s="3">
        <v>10321</v>
      </c>
      <c r="I200" s="4">
        <v>30</v>
      </c>
      <c r="J200" s="5">
        <v>4.82</v>
      </c>
      <c r="K200" s="4">
        <v>80</v>
      </c>
      <c r="L200" s="3">
        <f t="shared" si="9"/>
        <v>2064.1999999999994</v>
      </c>
      <c r="M200" s="3">
        <f t="shared" si="10"/>
        <v>43.420441300658666</v>
      </c>
      <c r="N200" s="3">
        <v>136.69999999999999</v>
      </c>
      <c r="O200" s="5">
        <f t="shared" si="11"/>
        <v>31.763307462076568</v>
      </c>
      <c r="P200" s="2" t="s">
        <v>69</v>
      </c>
    </row>
    <row r="201" spans="1:16" x14ac:dyDescent="0.2">
      <c r="A201" s="2" t="s">
        <v>430</v>
      </c>
      <c r="B201" s="2" t="s">
        <v>116</v>
      </c>
      <c r="C201" s="2" t="s">
        <v>18</v>
      </c>
      <c r="D201" s="2" t="s">
        <v>19</v>
      </c>
      <c r="E201" s="2" t="s">
        <v>156</v>
      </c>
      <c r="F201" s="2" t="s">
        <v>59</v>
      </c>
      <c r="G201" s="2" t="s">
        <v>35</v>
      </c>
      <c r="H201" s="3">
        <v>6722</v>
      </c>
      <c r="I201" s="4">
        <v>20</v>
      </c>
      <c r="J201" s="5">
        <v>4.68</v>
      </c>
      <c r="K201" s="4">
        <v>70</v>
      </c>
      <c r="L201" s="3">
        <f t="shared" si="9"/>
        <v>2016.6000000000004</v>
      </c>
      <c r="M201" s="3">
        <f t="shared" si="10"/>
        <v>30.227812394730876</v>
      </c>
      <c r="N201" s="3">
        <v>79.2</v>
      </c>
      <c r="O201" s="5">
        <f t="shared" si="11"/>
        <v>38.166429791326863</v>
      </c>
      <c r="P201" s="2" t="s">
        <v>36</v>
      </c>
    </row>
    <row r="202" spans="1:16" x14ac:dyDescent="0.2">
      <c r="A202" s="2" t="s">
        <v>431</v>
      </c>
      <c r="B202" s="2" t="s">
        <v>162</v>
      </c>
      <c r="C202" s="2" t="s">
        <v>119</v>
      </c>
      <c r="D202" s="2" t="s">
        <v>120</v>
      </c>
      <c r="E202" s="2" t="s">
        <v>33</v>
      </c>
      <c r="F202" s="2" t="s">
        <v>59</v>
      </c>
      <c r="G202" s="2" t="s">
        <v>44</v>
      </c>
      <c r="H202" s="3">
        <v>2471</v>
      </c>
      <c r="I202" s="4">
        <v>25</v>
      </c>
      <c r="J202" s="5">
        <v>5.27</v>
      </c>
      <c r="K202" s="4">
        <v>80</v>
      </c>
      <c r="L202" s="3">
        <f t="shared" si="9"/>
        <v>494.19999999999987</v>
      </c>
      <c r="M202" s="3">
        <f t="shared" si="10"/>
        <v>11.86926534536876</v>
      </c>
      <c r="N202" s="3">
        <v>36</v>
      </c>
      <c r="O202" s="5">
        <f t="shared" si="11"/>
        <v>32.970181514913222</v>
      </c>
      <c r="P202" s="2" t="s">
        <v>69</v>
      </c>
    </row>
    <row r="203" spans="1:16" x14ac:dyDescent="0.2">
      <c r="A203" s="2" t="s">
        <v>432</v>
      </c>
      <c r="B203" s="2" t="s">
        <v>433</v>
      </c>
      <c r="C203" s="2" t="s">
        <v>100</v>
      </c>
      <c r="D203" s="2" t="s">
        <v>32</v>
      </c>
      <c r="E203" s="2" t="s">
        <v>78</v>
      </c>
      <c r="F203" s="2" t="s">
        <v>34</v>
      </c>
      <c r="G203" s="2" t="s">
        <v>44</v>
      </c>
      <c r="H203" s="3">
        <v>2614</v>
      </c>
      <c r="I203" s="4">
        <v>25</v>
      </c>
      <c r="J203" s="5">
        <v>4.3899999999999997</v>
      </c>
      <c r="K203" s="4">
        <v>75</v>
      </c>
      <c r="L203" s="3">
        <f t="shared" si="9"/>
        <v>653.5</v>
      </c>
      <c r="M203" s="3">
        <f t="shared" si="10"/>
        <v>10.775051606339032</v>
      </c>
      <c r="N203" s="3">
        <v>36.700000000000003</v>
      </c>
      <c r="O203" s="5">
        <f t="shared" si="11"/>
        <v>29.359813641250764</v>
      </c>
      <c r="P203" s="2" t="s">
        <v>36</v>
      </c>
    </row>
    <row r="204" spans="1:16" x14ac:dyDescent="0.2">
      <c r="A204" s="2" t="s">
        <v>434</v>
      </c>
      <c r="B204" s="2" t="s">
        <v>435</v>
      </c>
      <c r="C204" s="2" t="s">
        <v>32</v>
      </c>
      <c r="D204" s="2" t="s">
        <v>32</v>
      </c>
      <c r="E204" s="2" t="s">
        <v>88</v>
      </c>
      <c r="F204" s="2" t="s">
        <v>28</v>
      </c>
      <c r="G204" s="2" t="s">
        <v>22</v>
      </c>
      <c r="H204" s="3">
        <v>8809</v>
      </c>
      <c r="I204" s="4">
        <v>30</v>
      </c>
      <c r="J204" s="5">
        <v>4.16</v>
      </c>
      <c r="K204" s="4">
        <v>70</v>
      </c>
      <c r="L204" s="3">
        <f t="shared" si="9"/>
        <v>2642.7000000000003</v>
      </c>
      <c r="M204" s="3">
        <f t="shared" si="10"/>
        <v>30.010480715102155</v>
      </c>
      <c r="N204" s="3">
        <v>139.4</v>
      </c>
      <c r="O204" s="5">
        <f t="shared" si="11"/>
        <v>21.528321890317184</v>
      </c>
      <c r="P204" s="2" t="s">
        <v>23</v>
      </c>
    </row>
    <row r="205" spans="1:16" x14ac:dyDescent="0.2">
      <c r="A205" s="2" t="s">
        <v>436</v>
      </c>
      <c r="B205" s="2" t="s">
        <v>80</v>
      </c>
      <c r="C205" s="2" t="s">
        <v>67</v>
      </c>
      <c r="D205" s="2" t="s">
        <v>67</v>
      </c>
      <c r="E205" s="2" t="s">
        <v>81</v>
      </c>
      <c r="F205" s="2" t="s">
        <v>21</v>
      </c>
      <c r="G205" s="2" t="s">
        <v>22</v>
      </c>
      <c r="H205" s="3">
        <v>9341</v>
      </c>
      <c r="I205" s="4">
        <v>25</v>
      </c>
      <c r="J205" s="5">
        <v>4.79</v>
      </c>
      <c r="K205" s="4">
        <v>90</v>
      </c>
      <c r="L205" s="3">
        <f t="shared" si="9"/>
        <v>934.0999999999998</v>
      </c>
      <c r="M205" s="3">
        <f t="shared" si="10"/>
        <v>48.12281413991375</v>
      </c>
      <c r="N205" s="3">
        <v>136.30000000000001</v>
      </c>
      <c r="O205" s="5">
        <f t="shared" si="11"/>
        <v>35.306540087977808</v>
      </c>
      <c r="P205" s="2" t="s">
        <v>29</v>
      </c>
    </row>
    <row r="206" spans="1:16" x14ac:dyDescent="0.2">
      <c r="A206" s="2" t="s">
        <v>437</v>
      </c>
      <c r="B206" s="2" t="s">
        <v>438</v>
      </c>
      <c r="C206" s="2" t="s">
        <v>72</v>
      </c>
      <c r="D206" s="2" t="s">
        <v>73</v>
      </c>
      <c r="E206" s="2" t="s">
        <v>107</v>
      </c>
      <c r="F206" s="2" t="s">
        <v>28</v>
      </c>
      <c r="G206" s="2" t="s">
        <v>22</v>
      </c>
      <c r="H206" s="3">
        <v>17609</v>
      </c>
      <c r="I206" s="4">
        <v>30</v>
      </c>
      <c r="J206" s="5">
        <v>4.63</v>
      </c>
      <c r="K206" s="4">
        <v>80</v>
      </c>
      <c r="L206" s="3">
        <f t="shared" si="9"/>
        <v>3521.7999999999993</v>
      </c>
      <c r="M206" s="3">
        <f t="shared" si="10"/>
        <v>72.470023059093549</v>
      </c>
      <c r="N206" s="3">
        <v>283.3</v>
      </c>
      <c r="O206" s="5">
        <f t="shared" si="11"/>
        <v>25.580664687290344</v>
      </c>
      <c r="P206" s="2" t="s">
        <v>36</v>
      </c>
    </row>
    <row r="207" spans="1:16" x14ac:dyDescent="0.2">
      <c r="A207" s="2" t="s">
        <v>439</v>
      </c>
      <c r="B207" s="2" t="s">
        <v>384</v>
      </c>
      <c r="C207" s="2" t="s">
        <v>53</v>
      </c>
      <c r="D207" s="2" t="s">
        <v>19</v>
      </c>
      <c r="E207" s="2" t="s">
        <v>114</v>
      </c>
      <c r="F207" s="2" t="s">
        <v>59</v>
      </c>
      <c r="G207" s="2" t="s">
        <v>35</v>
      </c>
      <c r="H207" s="3">
        <v>6687</v>
      </c>
      <c r="I207" s="4">
        <v>15</v>
      </c>
      <c r="J207" s="5">
        <v>5.77</v>
      </c>
      <c r="K207" s="4">
        <v>80</v>
      </c>
      <c r="L207" s="3">
        <f t="shared" si="9"/>
        <v>1337.3999999999996</v>
      </c>
      <c r="M207" s="3">
        <f t="shared" si="10"/>
        <v>44.480929877623886</v>
      </c>
      <c r="N207" s="3">
        <v>105.4</v>
      </c>
      <c r="O207" s="5">
        <f t="shared" si="11"/>
        <v>42.202020756758898</v>
      </c>
      <c r="P207" s="2" t="s">
        <v>36</v>
      </c>
    </row>
    <row r="208" spans="1:16" x14ac:dyDescent="0.2">
      <c r="A208" s="2" t="s">
        <v>440</v>
      </c>
      <c r="B208" s="2" t="s">
        <v>441</v>
      </c>
      <c r="C208" s="2" t="s">
        <v>67</v>
      </c>
      <c r="D208" s="2" t="s">
        <v>67</v>
      </c>
      <c r="E208" s="2" t="s">
        <v>81</v>
      </c>
      <c r="F208" s="2" t="s">
        <v>59</v>
      </c>
      <c r="G208" s="2" t="s">
        <v>44</v>
      </c>
      <c r="H208" s="3">
        <v>4620</v>
      </c>
      <c r="I208" s="4">
        <v>25</v>
      </c>
      <c r="J208" s="5">
        <v>4.8099999999999996</v>
      </c>
      <c r="K208" s="4">
        <v>90</v>
      </c>
      <c r="L208" s="3">
        <f t="shared" si="9"/>
        <v>461.99999999999989</v>
      </c>
      <c r="M208" s="3">
        <f t="shared" si="10"/>
        <v>23.84919784385465</v>
      </c>
      <c r="N208" s="3">
        <v>53.4</v>
      </c>
      <c r="O208" s="5">
        <f t="shared" si="11"/>
        <v>44.661419183248405</v>
      </c>
      <c r="P208" s="2" t="s">
        <v>23</v>
      </c>
    </row>
    <row r="209" spans="1:16" x14ac:dyDescent="0.2">
      <c r="A209" s="2" t="s">
        <v>442</v>
      </c>
      <c r="B209" s="2" t="s">
        <v>102</v>
      </c>
      <c r="C209" s="2" t="s">
        <v>153</v>
      </c>
      <c r="D209" s="2" t="s">
        <v>19</v>
      </c>
      <c r="E209" s="2" t="s">
        <v>20</v>
      </c>
      <c r="F209" s="2" t="s">
        <v>50</v>
      </c>
      <c r="G209" s="2" t="s">
        <v>98</v>
      </c>
      <c r="H209" s="3">
        <v>5196</v>
      </c>
      <c r="I209" s="4">
        <v>20</v>
      </c>
      <c r="J209" s="5">
        <v>5.74</v>
      </c>
      <c r="K209" s="4">
        <v>80</v>
      </c>
      <c r="L209" s="3">
        <f t="shared" si="9"/>
        <v>1039.1999999999998</v>
      </c>
      <c r="M209" s="3">
        <f t="shared" si="10"/>
        <v>29.160481676363066</v>
      </c>
      <c r="N209" s="3">
        <v>74.400000000000006</v>
      </c>
      <c r="O209" s="5">
        <f t="shared" si="11"/>
        <v>39.194195801563261</v>
      </c>
      <c r="P209" s="2" t="s">
        <v>23</v>
      </c>
    </row>
    <row r="210" spans="1:16" x14ac:dyDescent="0.2">
      <c r="A210" s="2" t="s">
        <v>443</v>
      </c>
      <c r="B210" s="2" t="s">
        <v>444</v>
      </c>
      <c r="C210" s="2" t="s">
        <v>18</v>
      </c>
      <c r="D210" s="2" t="s">
        <v>19</v>
      </c>
      <c r="E210" s="2" t="s">
        <v>64</v>
      </c>
      <c r="F210" s="2" t="s">
        <v>59</v>
      </c>
      <c r="G210" s="2" t="s">
        <v>35</v>
      </c>
      <c r="H210" s="3">
        <v>5655</v>
      </c>
      <c r="I210" s="4">
        <v>30</v>
      </c>
      <c r="J210" s="5">
        <v>5.41</v>
      </c>
      <c r="K210" s="4">
        <v>80</v>
      </c>
      <c r="L210" s="3">
        <f t="shared" si="9"/>
        <v>1130.9999999999998</v>
      </c>
      <c r="M210" s="3">
        <f t="shared" si="10"/>
        <v>25.431900099081879</v>
      </c>
      <c r="N210" s="3">
        <v>88.5</v>
      </c>
      <c r="O210" s="5">
        <f t="shared" si="11"/>
        <v>28.736610281448449</v>
      </c>
      <c r="P210" s="2" t="s">
        <v>69</v>
      </c>
    </row>
    <row r="211" spans="1:16" x14ac:dyDescent="0.2">
      <c r="A211" s="2" t="s">
        <v>445</v>
      </c>
      <c r="B211" s="2" t="s">
        <v>202</v>
      </c>
      <c r="C211" s="2" t="s">
        <v>131</v>
      </c>
      <c r="D211" s="2" t="s">
        <v>27</v>
      </c>
      <c r="E211" s="2" t="s">
        <v>107</v>
      </c>
      <c r="F211" s="2" t="s">
        <v>50</v>
      </c>
      <c r="G211" s="2" t="s">
        <v>35</v>
      </c>
      <c r="H211" s="3">
        <v>17468</v>
      </c>
      <c r="I211" s="4">
        <v>30</v>
      </c>
      <c r="J211" s="5">
        <v>4.29</v>
      </c>
      <c r="K211" s="4">
        <v>70</v>
      </c>
      <c r="L211" s="3">
        <f t="shared" si="9"/>
        <v>5240.4000000000005</v>
      </c>
      <c r="M211" s="3">
        <f t="shared" si="10"/>
        <v>60.439122548205752</v>
      </c>
      <c r="N211" s="3">
        <v>187.3</v>
      </c>
      <c r="O211" s="5">
        <f t="shared" si="11"/>
        <v>32.268618552165371</v>
      </c>
      <c r="P211" s="2" t="s">
        <v>36</v>
      </c>
    </row>
    <row r="212" spans="1:16" x14ac:dyDescent="0.2">
      <c r="A212" s="2" t="s">
        <v>446</v>
      </c>
      <c r="B212" s="2" t="s">
        <v>438</v>
      </c>
      <c r="C212" s="2" t="s">
        <v>67</v>
      </c>
      <c r="D212" s="2" t="s">
        <v>67</v>
      </c>
      <c r="E212" s="2" t="s">
        <v>88</v>
      </c>
      <c r="F212" s="2" t="s">
        <v>21</v>
      </c>
      <c r="G212" s="2" t="s">
        <v>98</v>
      </c>
      <c r="H212" s="3">
        <v>16663</v>
      </c>
      <c r="I212" s="4">
        <v>15</v>
      </c>
      <c r="J212" s="5">
        <v>5.1100000000000003</v>
      </c>
      <c r="K212" s="4">
        <v>85</v>
      </c>
      <c r="L212" s="3">
        <f t="shared" si="9"/>
        <v>2499.4500000000003</v>
      </c>
      <c r="M212" s="3">
        <f t="shared" si="10"/>
        <v>112.8177167079038</v>
      </c>
      <c r="N212" s="3">
        <v>209.2</v>
      </c>
      <c r="O212" s="5">
        <f t="shared" si="11"/>
        <v>53.928162862286712</v>
      </c>
      <c r="P212" s="2" t="s">
        <v>23</v>
      </c>
    </row>
    <row r="213" spans="1:16" x14ac:dyDescent="0.2">
      <c r="A213" s="2" t="s">
        <v>447</v>
      </c>
      <c r="B213" s="2" t="s">
        <v>232</v>
      </c>
      <c r="C213" s="2" t="s">
        <v>39</v>
      </c>
      <c r="D213" s="2" t="s">
        <v>40</v>
      </c>
      <c r="E213" s="2" t="s">
        <v>156</v>
      </c>
      <c r="F213" s="2" t="s">
        <v>34</v>
      </c>
      <c r="G213" s="2" t="s">
        <v>44</v>
      </c>
      <c r="H213" s="3">
        <v>8012</v>
      </c>
      <c r="I213" s="4">
        <v>30</v>
      </c>
      <c r="J213" s="5">
        <v>5.14</v>
      </c>
      <c r="K213" s="4">
        <v>70</v>
      </c>
      <c r="L213" s="3">
        <f t="shared" si="9"/>
        <v>2403.6000000000004</v>
      </c>
      <c r="M213" s="3">
        <f t="shared" si="10"/>
        <v>30.588790028123874</v>
      </c>
      <c r="N213" s="3">
        <v>85.2</v>
      </c>
      <c r="O213" s="5">
        <f t="shared" si="11"/>
        <v>35.902335713760415</v>
      </c>
      <c r="P213" s="2" t="s">
        <v>36</v>
      </c>
    </row>
    <row r="214" spans="1:16" x14ac:dyDescent="0.2">
      <c r="A214" s="2" t="s">
        <v>448</v>
      </c>
      <c r="B214" s="2" t="s">
        <v>348</v>
      </c>
      <c r="C214" s="2" t="s">
        <v>77</v>
      </c>
      <c r="D214" s="2" t="s">
        <v>19</v>
      </c>
      <c r="E214" s="2" t="s">
        <v>41</v>
      </c>
      <c r="F214" s="2" t="s">
        <v>34</v>
      </c>
      <c r="G214" s="2" t="s">
        <v>98</v>
      </c>
      <c r="H214" s="3">
        <v>8025</v>
      </c>
      <c r="I214" s="4">
        <v>15</v>
      </c>
      <c r="J214" s="5">
        <v>4.05</v>
      </c>
      <c r="K214" s="4">
        <v>85</v>
      </c>
      <c r="L214" s="3">
        <f t="shared" si="9"/>
        <v>1203.7500000000002</v>
      </c>
      <c r="M214" s="3">
        <f t="shared" si="10"/>
        <v>50.627047486951511</v>
      </c>
      <c r="N214" s="3">
        <v>97.6</v>
      </c>
      <c r="O214" s="5">
        <f t="shared" si="11"/>
        <v>51.871974884171635</v>
      </c>
      <c r="P214" s="2" t="s">
        <v>36</v>
      </c>
    </row>
    <row r="215" spans="1:16" x14ac:dyDescent="0.2">
      <c r="A215" s="2" t="s">
        <v>449</v>
      </c>
      <c r="B215" s="2" t="s">
        <v>450</v>
      </c>
      <c r="C215" s="2" t="s">
        <v>142</v>
      </c>
      <c r="D215" s="2" t="s">
        <v>143</v>
      </c>
      <c r="E215" s="2" t="s">
        <v>33</v>
      </c>
      <c r="F215" s="2" t="s">
        <v>21</v>
      </c>
      <c r="G215" s="2" t="s">
        <v>98</v>
      </c>
      <c r="H215" s="3">
        <v>7416</v>
      </c>
      <c r="I215" s="4">
        <v>30</v>
      </c>
      <c r="J215" s="5">
        <v>5.0599999999999996</v>
      </c>
      <c r="K215" s="4">
        <v>70</v>
      </c>
      <c r="L215" s="3">
        <f t="shared" si="9"/>
        <v>2224.8000000000002</v>
      </c>
      <c r="M215" s="3">
        <f t="shared" si="10"/>
        <v>28.058152666276854</v>
      </c>
      <c r="N215" s="3">
        <v>119.4</v>
      </c>
      <c r="O215" s="5">
        <f t="shared" si="11"/>
        <v>23.499290340265372</v>
      </c>
      <c r="P215" s="2" t="s">
        <v>36</v>
      </c>
    </row>
    <row r="216" spans="1:16" x14ac:dyDescent="0.2">
      <c r="A216" s="2" t="s">
        <v>451</v>
      </c>
      <c r="B216" s="2" t="s">
        <v>166</v>
      </c>
      <c r="C216" s="2" t="s">
        <v>62</v>
      </c>
      <c r="D216" s="2" t="s">
        <v>63</v>
      </c>
      <c r="E216" s="2" t="s">
        <v>177</v>
      </c>
      <c r="F216" s="2" t="s">
        <v>59</v>
      </c>
      <c r="G216" s="2" t="s">
        <v>35</v>
      </c>
      <c r="H216" s="3">
        <v>13728</v>
      </c>
      <c r="I216" s="4">
        <v>20</v>
      </c>
      <c r="J216" s="5">
        <v>4.72</v>
      </c>
      <c r="K216" s="4">
        <v>80</v>
      </c>
      <c r="L216" s="3">
        <f t="shared" si="9"/>
        <v>2745.5999999999995</v>
      </c>
      <c r="M216" s="3">
        <f t="shared" si="10"/>
        <v>70.791051605644597</v>
      </c>
      <c r="N216" s="3">
        <v>199.4</v>
      </c>
      <c r="O216" s="5">
        <f t="shared" si="11"/>
        <v>35.502031898517849</v>
      </c>
      <c r="P216" s="2" t="s">
        <v>36</v>
      </c>
    </row>
    <row r="217" spans="1:16" x14ac:dyDescent="0.2">
      <c r="A217" s="2" t="s">
        <v>452</v>
      </c>
      <c r="B217" s="2" t="s">
        <v>230</v>
      </c>
      <c r="C217" s="2" t="s">
        <v>77</v>
      </c>
      <c r="D217" s="2" t="s">
        <v>19</v>
      </c>
      <c r="E217" s="2" t="s">
        <v>58</v>
      </c>
      <c r="F217" s="2" t="s">
        <v>59</v>
      </c>
      <c r="G217" s="2" t="s">
        <v>22</v>
      </c>
      <c r="H217" s="3">
        <v>6650</v>
      </c>
      <c r="I217" s="4">
        <v>25</v>
      </c>
      <c r="J217" s="5">
        <v>4.5199999999999996</v>
      </c>
      <c r="K217" s="4">
        <v>80</v>
      </c>
      <c r="L217" s="3">
        <f t="shared" si="9"/>
        <v>1329.9999999999998</v>
      </c>
      <c r="M217" s="3">
        <f t="shared" si="10"/>
        <v>29.630713202437537</v>
      </c>
      <c r="N217" s="3">
        <v>71.099999999999994</v>
      </c>
      <c r="O217" s="5">
        <f t="shared" si="11"/>
        <v>41.674702113132966</v>
      </c>
      <c r="P217" s="2" t="s">
        <v>36</v>
      </c>
    </row>
    <row r="218" spans="1:16" x14ac:dyDescent="0.2">
      <c r="A218" s="2" t="s">
        <v>453</v>
      </c>
      <c r="B218" s="2" t="s">
        <v>162</v>
      </c>
      <c r="C218" s="2" t="s">
        <v>100</v>
      </c>
      <c r="D218" s="2" t="s">
        <v>32</v>
      </c>
      <c r="E218" s="2" t="s">
        <v>78</v>
      </c>
      <c r="F218" s="2" t="s">
        <v>34</v>
      </c>
      <c r="G218" s="2" t="s">
        <v>98</v>
      </c>
      <c r="H218" s="3">
        <v>2295</v>
      </c>
      <c r="I218" s="4">
        <v>30</v>
      </c>
      <c r="J218" s="5">
        <v>4.22</v>
      </c>
      <c r="K218" s="4">
        <v>80</v>
      </c>
      <c r="L218" s="3">
        <f t="shared" si="9"/>
        <v>458.99999999999989</v>
      </c>
      <c r="M218" s="3">
        <f t="shared" si="10"/>
        <v>8.999800245055587</v>
      </c>
      <c r="N218" s="3">
        <v>27.4</v>
      </c>
      <c r="O218" s="5">
        <f t="shared" si="11"/>
        <v>32.845986295823309</v>
      </c>
      <c r="P218" s="2" t="s">
        <v>36</v>
      </c>
    </row>
    <row r="219" spans="1:16" x14ac:dyDescent="0.2">
      <c r="A219" s="2" t="s">
        <v>454</v>
      </c>
      <c r="B219" s="2" t="s">
        <v>455</v>
      </c>
      <c r="C219" s="2" t="s">
        <v>119</v>
      </c>
      <c r="D219" s="2" t="s">
        <v>120</v>
      </c>
      <c r="E219" s="2" t="s">
        <v>88</v>
      </c>
      <c r="F219" s="2" t="s">
        <v>50</v>
      </c>
      <c r="G219" s="2" t="s">
        <v>98</v>
      </c>
      <c r="H219" s="3">
        <v>5392</v>
      </c>
      <c r="I219" s="4">
        <v>30</v>
      </c>
      <c r="J219" s="5">
        <v>4.41</v>
      </c>
      <c r="K219" s="4">
        <v>70</v>
      </c>
      <c r="L219" s="3">
        <f t="shared" si="9"/>
        <v>1617.6000000000001</v>
      </c>
      <c r="M219" s="3">
        <f t="shared" si="10"/>
        <v>18.923021687141645</v>
      </c>
      <c r="N219" s="3">
        <v>62.2</v>
      </c>
      <c r="O219" s="5">
        <f t="shared" si="11"/>
        <v>30.422864448780778</v>
      </c>
      <c r="P219" s="2" t="s">
        <v>36</v>
      </c>
    </row>
    <row r="220" spans="1:16" x14ac:dyDescent="0.2">
      <c r="A220" s="2" t="s">
        <v>456</v>
      </c>
      <c r="B220" s="2" t="s">
        <v>457</v>
      </c>
      <c r="C220" s="2" t="s">
        <v>84</v>
      </c>
      <c r="D220" s="2" t="s">
        <v>85</v>
      </c>
      <c r="E220" s="2" t="s">
        <v>177</v>
      </c>
      <c r="F220" s="2" t="s">
        <v>50</v>
      </c>
      <c r="G220" s="2" t="s">
        <v>98</v>
      </c>
      <c r="H220" s="3">
        <v>14864</v>
      </c>
      <c r="I220" s="4">
        <v>20</v>
      </c>
      <c r="J220" s="5">
        <v>4.5199999999999996</v>
      </c>
      <c r="K220" s="4">
        <v>90</v>
      </c>
      <c r="L220" s="3">
        <f t="shared" si="9"/>
        <v>1486.3999999999996</v>
      </c>
      <c r="M220" s="3">
        <f t="shared" si="10"/>
        <v>84.777793812426381</v>
      </c>
      <c r="N220" s="3">
        <v>218</v>
      </c>
      <c r="O220" s="5">
        <f t="shared" si="11"/>
        <v>38.888896244232285</v>
      </c>
      <c r="P220" s="2" t="s">
        <v>36</v>
      </c>
    </row>
    <row r="221" spans="1:16" x14ac:dyDescent="0.2">
      <c r="A221" s="2" t="s">
        <v>458</v>
      </c>
      <c r="B221" s="2" t="s">
        <v>459</v>
      </c>
      <c r="C221" s="2" t="s">
        <v>39</v>
      </c>
      <c r="D221" s="2" t="s">
        <v>40</v>
      </c>
      <c r="E221" s="2" t="s">
        <v>156</v>
      </c>
      <c r="F221" s="2" t="s">
        <v>34</v>
      </c>
      <c r="G221" s="2" t="s">
        <v>35</v>
      </c>
      <c r="H221" s="3">
        <v>2816</v>
      </c>
      <c r="I221" s="4">
        <v>25</v>
      </c>
      <c r="J221" s="5">
        <v>4.51</v>
      </c>
      <c r="K221" s="4">
        <v>90</v>
      </c>
      <c r="L221" s="3">
        <f t="shared" si="9"/>
        <v>281.59999999999991</v>
      </c>
      <c r="M221" s="3">
        <f t="shared" si="10"/>
        <v>14.101407512599964</v>
      </c>
      <c r="N221" s="3">
        <v>33.5</v>
      </c>
      <c r="O221" s="5">
        <f t="shared" si="11"/>
        <v>42.093753768955118</v>
      </c>
      <c r="P221" s="2" t="s">
        <v>36</v>
      </c>
    </row>
    <row r="222" spans="1:16" x14ac:dyDescent="0.2">
      <c r="A222" s="2" t="s">
        <v>460</v>
      </c>
      <c r="B222" s="2" t="s">
        <v>461</v>
      </c>
      <c r="C222" s="2" t="s">
        <v>175</v>
      </c>
      <c r="D222" s="2" t="s">
        <v>176</v>
      </c>
      <c r="E222" s="2" t="s">
        <v>107</v>
      </c>
      <c r="F222" s="2" t="s">
        <v>21</v>
      </c>
      <c r="G222" s="2" t="s">
        <v>22</v>
      </c>
      <c r="H222" s="3">
        <v>9155</v>
      </c>
      <c r="I222" s="4">
        <v>30</v>
      </c>
      <c r="J222" s="5">
        <v>5.31</v>
      </c>
      <c r="K222" s="4">
        <v>85</v>
      </c>
      <c r="L222" s="3">
        <f t="shared" si="9"/>
        <v>1373.2500000000002</v>
      </c>
      <c r="M222" s="3">
        <f t="shared" si="10"/>
        <v>43.260757084067528</v>
      </c>
      <c r="N222" s="3">
        <v>128.4</v>
      </c>
      <c r="O222" s="5">
        <f t="shared" si="11"/>
        <v>33.692178414382809</v>
      </c>
      <c r="P222" s="2" t="s">
        <v>23</v>
      </c>
    </row>
    <row r="223" spans="1:16" x14ac:dyDescent="0.2">
      <c r="A223" s="2" t="s">
        <v>462</v>
      </c>
      <c r="B223" s="2" t="s">
        <v>307</v>
      </c>
      <c r="C223" s="2" t="s">
        <v>32</v>
      </c>
      <c r="D223" s="2" t="s">
        <v>32</v>
      </c>
      <c r="E223" s="2" t="s">
        <v>20</v>
      </c>
      <c r="F223" s="2" t="s">
        <v>50</v>
      </c>
      <c r="G223" s="2" t="s">
        <v>44</v>
      </c>
      <c r="H223" s="3">
        <v>7511</v>
      </c>
      <c r="I223" s="4">
        <v>30</v>
      </c>
      <c r="J223" s="5">
        <v>5.63</v>
      </c>
      <c r="K223" s="4">
        <v>80</v>
      </c>
      <c r="L223" s="3">
        <f t="shared" si="9"/>
        <v>1502.1999999999996</v>
      </c>
      <c r="M223" s="3">
        <f t="shared" si="10"/>
        <v>34.60901301196747</v>
      </c>
      <c r="N223" s="3">
        <v>135.9</v>
      </c>
      <c r="O223" s="5">
        <f t="shared" si="11"/>
        <v>25.466529074295412</v>
      </c>
      <c r="P223" s="2" t="s">
        <v>69</v>
      </c>
    </row>
    <row r="224" spans="1:16" x14ac:dyDescent="0.2">
      <c r="A224" s="2" t="s">
        <v>463</v>
      </c>
      <c r="B224" s="2" t="s">
        <v>269</v>
      </c>
      <c r="C224" s="2" t="s">
        <v>146</v>
      </c>
      <c r="D224" s="2" t="s">
        <v>19</v>
      </c>
      <c r="E224" s="2" t="s">
        <v>88</v>
      </c>
      <c r="F224" s="2" t="s">
        <v>28</v>
      </c>
      <c r="G224" s="2" t="s">
        <v>98</v>
      </c>
      <c r="H224" s="3">
        <v>14286</v>
      </c>
      <c r="I224" s="4">
        <v>30</v>
      </c>
      <c r="J224" s="5">
        <v>5.16</v>
      </c>
      <c r="K224" s="4">
        <v>80</v>
      </c>
      <c r="L224" s="3">
        <f t="shared" si="9"/>
        <v>2857.1999999999994</v>
      </c>
      <c r="M224" s="3">
        <f t="shared" si="10"/>
        <v>62.474678246388294</v>
      </c>
      <c r="N224" s="3">
        <v>239.9</v>
      </c>
      <c r="O224" s="5">
        <f t="shared" si="11"/>
        <v>26.041966755476569</v>
      </c>
      <c r="P224" s="2" t="s">
        <v>36</v>
      </c>
    </row>
    <row r="225" spans="1:16" x14ac:dyDescent="0.2">
      <c r="A225" s="2" t="s">
        <v>464</v>
      </c>
      <c r="B225" s="2" t="s">
        <v>267</v>
      </c>
      <c r="C225" s="2" t="s">
        <v>47</v>
      </c>
      <c r="D225" s="2" t="s">
        <v>48</v>
      </c>
      <c r="E225" s="2" t="s">
        <v>20</v>
      </c>
      <c r="F225" s="2" t="s">
        <v>50</v>
      </c>
      <c r="G225" s="2" t="s">
        <v>35</v>
      </c>
      <c r="H225" s="3">
        <v>9306</v>
      </c>
      <c r="I225" s="4">
        <v>30</v>
      </c>
      <c r="J225" s="5">
        <v>4.3499999999999996</v>
      </c>
      <c r="K225" s="4">
        <v>70</v>
      </c>
      <c r="L225" s="3">
        <f t="shared" si="9"/>
        <v>2791.8000000000006</v>
      </c>
      <c r="M225" s="3">
        <f t="shared" si="10"/>
        <v>32.428455801122908</v>
      </c>
      <c r="N225" s="3">
        <v>110.7</v>
      </c>
      <c r="O225" s="5">
        <f t="shared" si="11"/>
        <v>29.293998013661167</v>
      </c>
      <c r="P225" s="2" t="s">
        <v>36</v>
      </c>
    </row>
    <row r="226" spans="1:16" x14ac:dyDescent="0.2">
      <c r="A226" s="2" t="s">
        <v>465</v>
      </c>
      <c r="B226" s="2" t="s">
        <v>250</v>
      </c>
      <c r="C226" s="2" t="s">
        <v>77</v>
      </c>
      <c r="D226" s="2" t="s">
        <v>19</v>
      </c>
      <c r="E226" s="2" t="s">
        <v>78</v>
      </c>
      <c r="F226" s="2" t="s">
        <v>21</v>
      </c>
      <c r="G226" s="2" t="s">
        <v>22</v>
      </c>
      <c r="H226" s="3">
        <v>10373</v>
      </c>
      <c r="I226" s="4">
        <v>20</v>
      </c>
      <c r="J226" s="5">
        <v>4.75</v>
      </c>
      <c r="K226" s="4">
        <v>75</v>
      </c>
      <c r="L226" s="3">
        <f t="shared" si="9"/>
        <v>2593.25</v>
      </c>
      <c r="M226" s="3">
        <f t="shared" si="10"/>
        <v>50.27458268192072</v>
      </c>
      <c r="N226" s="3">
        <v>172.1</v>
      </c>
      <c r="O226" s="5">
        <f t="shared" si="11"/>
        <v>29.212424568228197</v>
      </c>
      <c r="P226" s="2" t="s">
        <v>36</v>
      </c>
    </row>
    <row r="227" spans="1:16" x14ac:dyDescent="0.2">
      <c r="A227" s="2" t="s">
        <v>466</v>
      </c>
      <c r="B227" s="2" t="s">
        <v>467</v>
      </c>
      <c r="C227" s="2" t="s">
        <v>67</v>
      </c>
      <c r="D227" s="2" t="s">
        <v>67</v>
      </c>
      <c r="E227" s="2" t="s">
        <v>64</v>
      </c>
      <c r="F227" s="2" t="s">
        <v>34</v>
      </c>
      <c r="G227" s="2" t="s">
        <v>98</v>
      </c>
      <c r="H227" s="3">
        <v>8450</v>
      </c>
      <c r="I227" s="4">
        <v>25</v>
      </c>
      <c r="J227" s="5">
        <v>5.37</v>
      </c>
      <c r="K227" s="4">
        <v>80</v>
      </c>
      <c r="L227" s="3">
        <f t="shared" si="9"/>
        <v>1689.9999999999995</v>
      </c>
      <c r="M227" s="3">
        <f t="shared" si="10"/>
        <v>40.989142562176774</v>
      </c>
      <c r="N227" s="3">
        <v>133.6</v>
      </c>
      <c r="O227" s="5">
        <f t="shared" si="11"/>
        <v>30.680495929773034</v>
      </c>
      <c r="P227" s="2" t="s">
        <v>36</v>
      </c>
    </row>
    <row r="228" spans="1:16" x14ac:dyDescent="0.2">
      <c r="A228" s="2" t="s">
        <v>468</v>
      </c>
      <c r="B228" s="2" t="s">
        <v>379</v>
      </c>
      <c r="C228" s="2" t="s">
        <v>18</v>
      </c>
      <c r="D228" s="2" t="s">
        <v>19</v>
      </c>
      <c r="E228" s="2" t="s">
        <v>114</v>
      </c>
      <c r="F228" s="2" t="s">
        <v>59</v>
      </c>
      <c r="G228" s="2" t="s">
        <v>22</v>
      </c>
      <c r="H228" s="3">
        <v>6047</v>
      </c>
      <c r="I228" s="4">
        <v>30</v>
      </c>
      <c r="J228" s="5">
        <v>4.16</v>
      </c>
      <c r="K228" s="4">
        <v>80</v>
      </c>
      <c r="L228" s="3">
        <f t="shared" si="9"/>
        <v>1209.3999999999996</v>
      </c>
      <c r="M228" s="3">
        <f t="shared" si="10"/>
        <v>23.543892043426073</v>
      </c>
      <c r="N228" s="3">
        <v>65</v>
      </c>
      <c r="O228" s="5">
        <f t="shared" si="11"/>
        <v>36.221372374501648</v>
      </c>
      <c r="P228" s="2" t="s">
        <v>29</v>
      </c>
    </row>
    <row r="229" spans="1:16" x14ac:dyDescent="0.2">
      <c r="A229" s="2" t="s">
        <v>469</v>
      </c>
      <c r="B229" s="2" t="s">
        <v>470</v>
      </c>
      <c r="C229" s="2" t="s">
        <v>53</v>
      </c>
      <c r="D229" s="2" t="s">
        <v>19</v>
      </c>
      <c r="E229" s="2" t="s">
        <v>97</v>
      </c>
      <c r="F229" s="2" t="s">
        <v>34</v>
      </c>
      <c r="G229" s="2" t="s">
        <v>44</v>
      </c>
      <c r="H229" s="3">
        <v>8082</v>
      </c>
      <c r="I229" s="4">
        <v>30</v>
      </c>
      <c r="J229" s="5">
        <v>5.41</v>
      </c>
      <c r="K229" s="4">
        <v>85</v>
      </c>
      <c r="L229" s="3">
        <f t="shared" si="9"/>
        <v>1212.3000000000002</v>
      </c>
      <c r="M229" s="3">
        <f t="shared" si="10"/>
        <v>38.618374029766315</v>
      </c>
      <c r="N229" s="3">
        <v>86.3</v>
      </c>
      <c r="O229" s="5">
        <f t="shared" si="11"/>
        <v>44.74898497076051</v>
      </c>
      <c r="P229" s="2" t="s">
        <v>69</v>
      </c>
    </row>
    <row r="230" spans="1:16" x14ac:dyDescent="0.2">
      <c r="A230" s="2" t="s">
        <v>471</v>
      </c>
      <c r="B230" s="2" t="s">
        <v>214</v>
      </c>
      <c r="C230" s="2" t="s">
        <v>77</v>
      </c>
      <c r="D230" s="2" t="s">
        <v>19</v>
      </c>
      <c r="E230" s="2" t="s">
        <v>68</v>
      </c>
      <c r="F230" s="2" t="s">
        <v>28</v>
      </c>
      <c r="G230" s="2" t="s">
        <v>35</v>
      </c>
      <c r="H230" s="3">
        <v>10401</v>
      </c>
      <c r="I230" s="4">
        <v>25</v>
      </c>
      <c r="J230" s="5">
        <v>5.36</v>
      </c>
      <c r="K230" s="4">
        <v>80</v>
      </c>
      <c r="L230" s="3">
        <f t="shared" si="9"/>
        <v>2080.1999999999994</v>
      </c>
      <c r="M230" s="3">
        <f t="shared" si="10"/>
        <v>50.403658365165711</v>
      </c>
      <c r="N230" s="3">
        <v>163.1</v>
      </c>
      <c r="O230" s="5">
        <f t="shared" si="11"/>
        <v>30.903530573369537</v>
      </c>
      <c r="P230" s="2" t="s">
        <v>36</v>
      </c>
    </row>
    <row r="231" spans="1:16" x14ac:dyDescent="0.2">
      <c r="A231" s="2" t="s">
        <v>472</v>
      </c>
      <c r="B231" s="2" t="s">
        <v>325</v>
      </c>
      <c r="C231" s="2" t="s">
        <v>91</v>
      </c>
      <c r="D231" s="2" t="s">
        <v>92</v>
      </c>
      <c r="E231" s="2" t="s">
        <v>41</v>
      </c>
      <c r="F231" s="2" t="s">
        <v>21</v>
      </c>
      <c r="G231" s="2" t="s">
        <v>22</v>
      </c>
      <c r="H231" s="3">
        <v>5193</v>
      </c>
      <c r="I231" s="4">
        <v>15</v>
      </c>
      <c r="J231" s="5">
        <v>4.75</v>
      </c>
      <c r="K231" s="4">
        <v>80</v>
      </c>
      <c r="L231" s="3">
        <f t="shared" si="9"/>
        <v>1038.5999999999997</v>
      </c>
      <c r="M231" s="3">
        <f t="shared" si="10"/>
        <v>32.314249189357149</v>
      </c>
      <c r="N231" s="3">
        <v>92.5</v>
      </c>
      <c r="O231" s="5">
        <f t="shared" si="11"/>
        <v>34.934323447953673</v>
      </c>
      <c r="P231" s="2" t="s">
        <v>36</v>
      </c>
    </row>
    <row r="232" spans="1:16" x14ac:dyDescent="0.2">
      <c r="A232" s="2" t="s">
        <v>473</v>
      </c>
      <c r="B232" s="2" t="s">
        <v>474</v>
      </c>
      <c r="C232" s="2" t="s">
        <v>18</v>
      </c>
      <c r="D232" s="2" t="s">
        <v>19</v>
      </c>
      <c r="E232" s="2" t="s">
        <v>177</v>
      </c>
      <c r="F232" s="2" t="s">
        <v>59</v>
      </c>
      <c r="G232" s="2" t="s">
        <v>44</v>
      </c>
      <c r="H232" s="3">
        <v>17521</v>
      </c>
      <c r="I232" s="4">
        <v>20</v>
      </c>
      <c r="J232" s="5">
        <v>5.62</v>
      </c>
      <c r="K232" s="4">
        <v>80</v>
      </c>
      <c r="L232" s="3">
        <f t="shared" si="9"/>
        <v>3504.1999999999994</v>
      </c>
      <c r="M232" s="3">
        <f t="shared" si="10"/>
        <v>97.372254715834899</v>
      </c>
      <c r="N232" s="3">
        <v>222.4</v>
      </c>
      <c r="O232" s="5">
        <f t="shared" si="11"/>
        <v>43.78248863122073</v>
      </c>
      <c r="P232" s="2" t="s">
        <v>23</v>
      </c>
    </row>
    <row r="233" spans="1:16" x14ac:dyDescent="0.2">
      <c r="A233" s="2" t="s">
        <v>475</v>
      </c>
      <c r="B233" s="2" t="s">
        <v>476</v>
      </c>
      <c r="C233" s="2" t="s">
        <v>84</v>
      </c>
      <c r="D233" s="2" t="s">
        <v>85</v>
      </c>
      <c r="E233" s="2" t="s">
        <v>81</v>
      </c>
      <c r="F233" s="2" t="s">
        <v>28</v>
      </c>
      <c r="G233" s="2" t="s">
        <v>44</v>
      </c>
      <c r="H233" s="3">
        <v>13647</v>
      </c>
      <c r="I233" s="4">
        <v>30</v>
      </c>
      <c r="J233" s="5">
        <v>4.72</v>
      </c>
      <c r="K233" s="4">
        <v>70</v>
      </c>
      <c r="L233" s="3">
        <f t="shared" si="9"/>
        <v>4094.1000000000008</v>
      </c>
      <c r="M233" s="3">
        <f t="shared" si="10"/>
        <v>49.65985259288211</v>
      </c>
      <c r="N233" s="3">
        <v>218.1</v>
      </c>
      <c r="O233" s="5">
        <f t="shared" si="11"/>
        <v>22.769304260835447</v>
      </c>
      <c r="P233" s="2" t="s">
        <v>36</v>
      </c>
    </row>
    <row r="234" spans="1:16" x14ac:dyDescent="0.2">
      <c r="A234" s="2" t="s">
        <v>477</v>
      </c>
      <c r="B234" s="2" t="s">
        <v>478</v>
      </c>
      <c r="C234" s="2" t="s">
        <v>32</v>
      </c>
      <c r="D234" s="2" t="s">
        <v>32</v>
      </c>
      <c r="E234" s="2" t="s">
        <v>177</v>
      </c>
      <c r="F234" s="2" t="s">
        <v>21</v>
      </c>
      <c r="G234" s="2" t="s">
        <v>44</v>
      </c>
      <c r="H234" s="3">
        <v>17315</v>
      </c>
      <c r="I234" s="4">
        <v>25</v>
      </c>
      <c r="J234" s="5">
        <v>3.98</v>
      </c>
      <c r="K234" s="4">
        <v>80</v>
      </c>
      <c r="L234" s="3">
        <f t="shared" si="9"/>
        <v>3462.9999999999991</v>
      </c>
      <c r="M234" s="3">
        <f t="shared" si="10"/>
        <v>72.963077020601631</v>
      </c>
      <c r="N234" s="3">
        <v>211.4</v>
      </c>
      <c r="O234" s="5">
        <f t="shared" si="11"/>
        <v>34.514227540492733</v>
      </c>
      <c r="P234" s="2" t="s">
        <v>23</v>
      </c>
    </row>
    <row r="235" spans="1:16" x14ac:dyDescent="0.2">
      <c r="A235" s="2" t="s">
        <v>479</v>
      </c>
      <c r="B235" s="2" t="s">
        <v>122</v>
      </c>
      <c r="C235" s="2" t="s">
        <v>67</v>
      </c>
      <c r="D235" s="2" t="s">
        <v>67</v>
      </c>
      <c r="E235" s="2" t="s">
        <v>107</v>
      </c>
      <c r="F235" s="2" t="s">
        <v>59</v>
      </c>
      <c r="G235" s="2" t="s">
        <v>35</v>
      </c>
      <c r="H235" s="3">
        <v>3169</v>
      </c>
      <c r="I235" s="4">
        <v>20</v>
      </c>
      <c r="J235" s="5">
        <v>4.84</v>
      </c>
      <c r="K235" s="4">
        <v>85</v>
      </c>
      <c r="L235" s="3">
        <f t="shared" si="9"/>
        <v>475.35000000000008</v>
      </c>
      <c r="M235" s="3">
        <f t="shared" si="10"/>
        <v>17.539677242696314</v>
      </c>
      <c r="N235" s="3">
        <v>50.7</v>
      </c>
      <c r="O235" s="5">
        <f t="shared" si="11"/>
        <v>34.595024147330008</v>
      </c>
      <c r="P235" s="2" t="s">
        <v>23</v>
      </c>
    </row>
    <row r="236" spans="1:16" x14ac:dyDescent="0.2">
      <c r="A236" s="2" t="s">
        <v>480</v>
      </c>
      <c r="B236" s="2" t="s">
        <v>481</v>
      </c>
      <c r="C236" s="2" t="s">
        <v>39</v>
      </c>
      <c r="D236" s="2" t="s">
        <v>40</v>
      </c>
      <c r="E236" s="2" t="s">
        <v>81</v>
      </c>
      <c r="F236" s="2" t="s">
        <v>50</v>
      </c>
      <c r="G236" s="2" t="s">
        <v>44</v>
      </c>
      <c r="H236" s="3">
        <v>17246</v>
      </c>
      <c r="I236" s="4">
        <v>25</v>
      </c>
      <c r="J236" s="5">
        <v>5.2</v>
      </c>
      <c r="K236" s="4">
        <v>75</v>
      </c>
      <c r="L236" s="3">
        <f t="shared" si="9"/>
        <v>4311.5</v>
      </c>
      <c r="M236" s="3">
        <f t="shared" si="10"/>
        <v>77.128619907973714</v>
      </c>
      <c r="N236" s="3">
        <v>310.39999999999998</v>
      </c>
      <c r="O236" s="5">
        <f t="shared" si="11"/>
        <v>24.848137856950299</v>
      </c>
      <c r="P236" s="2" t="s">
        <v>36</v>
      </c>
    </row>
    <row r="237" spans="1:16" x14ac:dyDescent="0.2">
      <c r="A237" s="2" t="s">
        <v>482</v>
      </c>
      <c r="B237" s="2" t="s">
        <v>483</v>
      </c>
      <c r="C237" s="2" t="s">
        <v>142</v>
      </c>
      <c r="D237" s="2" t="s">
        <v>143</v>
      </c>
      <c r="E237" s="2" t="s">
        <v>68</v>
      </c>
      <c r="F237" s="2" t="s">
        <v>28</v>
      </c>
      <c r="G237" s="2" t="s">
        <v>22</v>
      </c>
      <c r="H237" s="3">
        <v>15186</v>
      </c>
      <c r="I237" s="4">
        <v>30</v>
      </c>
      <c r="J237" s="5">
        <v>5.47</v>
      </c>
      <c r="K237" s="4">
        <v>75</v>
      </c>
      <c r="L237" s="3">
        <f t="shared" si="9"/>
        <v>3796.5</v>
      </c>
      <c r="M237" s="3">
        <f t="shared" si="10"/>
        <v>64.454113183257917</v>
      </c>
      <c r="N237" s="3">
        <v>257.7</v>
      </c>
      <c r="O237" s="5">
        <f t="shared" si="11"/>
        <v>25.011297315971255</v>
      </c>
      <c r="P237" s="2" t="s">
        <v>36</v>
      </c>
    </row>
    <row r="238" spans="1:16" x14ac:dyDescent="0.2">
      <c r="A238" s="2" t="s">
        <v>484</v>
      </c>
      <c r="B238" s="2" t="s">
        <v>330</v>
      </c>
      <c r="C238" s="2" t="s">
        <v>67</v>
      </c>
      <c r="D238" s="2" t="s">
        <v>67</v>
      </c>
      <c r="E238" s="2" t="s">
        <v>74</v>
      </c>
      <c r="F238" s="2" t="s">
        <v>34</v>
      </c>
      <c r="G238" s="2" t="s">
        <v>22</v>
      </c>
      <c r="H238" s="3">
        <v>7646</v>
      </c>
      <c r="I238" s="4">
        <v>20</v>
      </c>
      <c r="J238" s="5">
        <v>4.0999999999999996</v>
      </c>
      <c r="K238" s="4">
        <v>85</v>
      </c>
      <c r="L238" s="3">
        <f t="shared" si="9"/>
        <v>1146.9000000000001</v>
      </c>
      <c r="M238" s="3">
        <f t="shared" si="10"/>
        <v>39.726567947708091</v>
      </c>
      <c r="N238" s="3">
        <v>101.7</v>
      </c>
      <c r="O238" s="5">
        <f t="shared" si="11"/>
        <v>39.062505356645119</v>
      </c>
      <c r="P238" s="2" t="s">
        <v>23</v>
      </c>
    </row>
    <row r="239" spans="1:16" x14ac:dyDescent="0.2">
      <c r="A239" s="2" t="s">
        <v>485</v>
      </c>
      <c r="B239" s="2" t="s">
        <v>317</v>
      </c>
      <c r="C239" s="2" t="s">
        <v>119</v>
      </c>
      <c r="D239" s="2" t="s">
        <v>120</v>
      </c>
      <c r="E239" s="2" t="s">
        <v>33</v>
      </c>
      <c r="F239" s="2" t="s">
        <v>34</v>
      </c>
      <c r="G239" s="2" t="s">
        <v>35</v>
      </c>
      <c r="H239" s="3">
        <v>12959</v>
      </c>
      <c r="I239" s="4">
        <v>30</v>
      </c>
      <c r="J239" s="5">
        <v>4.28</v>
      </c>
      <c r="K239" s="4">
        <v>90</v>
      </c>
      <c r="L239" s="3">
        <f t="shared" si="9"/>
        <v>1295.8999999999996</v>
      </c>
      <c r="M239" s="3">
        <f t="shared" si="10"/>
        <v>57.58046387262003</v>
      </c>
      <c r="N239" s="3">
        <v>160.30000000000001</v>
      </c>
      <c r="O239" s="5">
        <f t="shared" si="11"/>
        <v>35.920439097080489</v>
      </c>
      <c r="P239" s="2" t="s">
        <v>23</v>
      </c>
    </row>
    <row r="240" spans="1:16" x14ac:dyDescent="0.2">
      <c r="A240" s="2" t="s">
        <v>486</v>
      </c>
      <c r="B240" s="2" t="s">
        <v>487</v>
      </c>
      <c r="C240" s="2" t="s">
        <v>26</v>
      </c>
      <c r="D240" s="2" t="s">
        <v>27</v>
      </c>
      <c r="E240" s="2" t="s">
        <v>156</v>
      </c>
      <c r="F240" s="2" t="s">
        <v>59</v>
      </c>
      <c r="G240" s="2" t="s">
        <v>35</v>
      </c>
      <c r="H240" s="3">
        <v>2982</v>
      </c>
      <c r="I240" s="4">
        <v>20</v>
      </c>
      <c r="J240" s="5">
        <v>5.58</v>
      </c>
      <c r="K240" s="4">
        <v>80</v>
      </c>
      <c r="L240" s="3">
        <f t="shared" si="9"/>
        <v>596.39999999999986</v>
      </c>
      <c r="M240" s="3">
        <f t="shared" si="10"/>
        <v>16.518216929245288</v>
      </c>
      <c r="N240" s="3">
        <v>36.200000000000003</v>
      </c>
      <c r="O240" s="5">
        <f t="shared" si="11"/>
        <v>45.630433506202451</v>
      </c>
      <c r="P240" s="2" t="s">
        <v>29</v>
      </c>
    </row>
    <row r="241" spans="1:16" x14ac:dyDescent="0.2">
      <c r="A241" s="2" t="s">
        <v>488</v>
      </c>
      <c r="B241" s="2" t="s">
        <v>411</v>
      </c>
      <c r="C241" s="2" t="s">
        <v>67</v>
      </c>
      <c r="D241" s="2" t="s">
        <v>67</v>
      </c>
      <c r="E241" s="2" t="s">
        <v>64</v>
      </c>
      <c r="F241" s="2" t="s">
        <v>59</v>
      </c>
      <c r="G241" s="2" t="s">
        <v>35</v>
      </c>
      <c r="H241" s="3">
        <v>3338</v>
      </c>
      <c r="I241" s="4">
        <v>20</v>
      </c>
      <c r="J241" s="5">
        <v>5.33</v>
      </c>
      <c r="K241" s="4">
        <v>75</v>
      </c>
      <c r="L241" s="3">
        <f t="shared" si="9"/>
        <v>834.5</v>
      </c>
      <c r="M241" s="3">
        <f t="shared" si="10"/>
        <v>16.981771665127493</v>
      </c>
      <c r="N241" s="3">
        <v>39.700000000000003</v>
      </c>
      <c r="O241" s="5">
        <f t="shared" si="11"/>
        <v>42.775243488986128</v>
      </c>
      <c r="P241" s="2" t="s">
        <v>36</v>
      </c>
    </row>
    <row r="242" spans="1:16" x14ac:dyDescent="0.2">
      <c r="A242" s="2" t="s">
        <v>489</v>
      </c>
      <c r="B242" s="2" t="s">
        <v>490</v>
      </c>
      <c r="C242" s="2" t="s">
        <v>153</v>
      </c>
      <c r="D242" s="2" t="s">
        <v>19</v>
      </c>
      <c r="E242" s="2" t="s">
        <v>58</v>
      </c>
      <c r="F242" s="2" t="s">
        <v>50</v>
      </c>
      <c r="G242" s="2" t="s">
        <v>44</v>
      </c>
      <c r="H242" s="3">
        <v>7929</v>
      </c>
      <c r="I242" s="4">
        <v>20</v>
      </c>
      <c r="J242" s="5">
        <v>4.74</v>
      </c>
      <c r="K242" s="4">
        <v>80</v>
      </c>
      <c r="L242" s="3">
        <f t="shared" si="9"/>
        <v>1585.7999999999997</v>
      </c>
      <c r="M242" s="3">
        <f t="shared" si="10"/>
        <v>40.956622584100401</v>
      </c>
      <c r="N242" s="3">
        <v>125.2</v>
      </c>
      <c r="O242" s="5">
        <f t="shared" si="11"/>
        <v>32.71295733554345</v>
      </c>
      <c r="P242" s="2" t="s">
        <v>69</v>
      </c>
    </row>
    <row r="243" spans="1:16" x14ac:dyDescent="0.2">
      <c r="A243" s="2" t="s">
        <v>491</v>
      </c>
      <c r="B243" s="2" t="s">
        <v>474</v>
      </c>
      <c r="C243" s="2" t="s">
        <v>142</v>
      </c>
      <c r="D243" s="2" t="s">
        <v>143</v>
      </c>
      <c r="E243" s="2" t="s">
        <v>49</v>
      </c>
      <c r="F243" s="2" t="s">
        <v>59</v>
      </c>
      <c r="G243" s="2" t="s">
        <v>22</v>
      </c>
      <c r="H243" s="3">
        <v>17141</v>
      </c>
      <c r="I243" s="4">
        <v>25</v>
      </c>
      <c r="J243" s="5">
        <v>5.15</v>
      </c>
      <c r="K243" s="4">
        <v>90</v>
      </c>
      <c r="L243" s="3">
        <f t="shared" si="9"/>
        <v>1714.0999999999997</v>
      </c>
      <c r="M243" s="3">
        <f t="shared" si="10"/>
        <v>91.537459502195475</v>
      </c>
      <c r="N243" s="3">
        <v>272.60000000000002</v>
      </c>
      <c r="O243" s="5">
        <f t="shared" si="11"/>
        <v>33.579405540057031</v>
      </c>
      <c r="P243" s="2" t="s">
        <v>36</v>
      </c>
    </row>
    <row r="244" spans="1:16" x14ac:dyDescent="0.2">
      <c r="A244" s="2" t="s">
        <v>492</v>
      </c>
      <c r="B244" s="2" t="s">
        <v>493</v>
      </c>
      <c r="C244" s="2" t="s">
        <v>56</v>
      </c>
      <c r="D244" s="2" t="s">
        <v>57</v>
      </c>
      <c r="E244" s="2" t="s">
        <v>20</v>
      </c>
      <c r="F244" s="2" t="s">
        <v>28</v>
      </c>
      <c r="G244" s="2" t="s">
        <v>35</v>
      </c>
      <c r="H244" s="3">
        <v>17888</v>
      </c>
      <c r="I244" s="4">
        <v>15</v>
      </c>
      <c r="J244" s="5">
        <v>5.07</v>
      </c>
      <c r="K244" s="4">
        <v>80</v>
      </c>
      <c r="L244" s="3">
        <f t="shared" si="9"/>
        <v>3577.599999999999</v>
      </c>
      <c r="M244" s="3">
        <f t="shared" si="10"/>
        <v>113.68823818180569</v>
      </c>
      <c r="N244" s="3">
        <v>282</v>
      </c>
      <c r="O244" s="5">
        <f t="shared" si="11"/>
        <v>40.314978078654498</v>
      </c>
      <c r="P244" s="2" t="s">
        <v>23</v>
      </c>
    </row>
    <row r="245" spans="1:16" x14ac:dyDescent="0.2">
      <c r="A245" s="2" t="s">
        <v>494</v>
      </c>
      <c r="B245" s="2" t="s">
        <v>495</v>
      </c>
      <c r="C245" s="2" t="s">
        <v>39</v>
      </c>
      <c r="D245" s="2" t="s">
        <v>40</v>
      </c>
      <c r="E245" s="2" t="s">
        <v>58</v>
      </c>
      <c r="F245" s="2" t="s">
        <v>50</v>
      </c>
      <c r="G245" s="2" t="s">
        <v>98</v>
      </c>
      <c r="H245" s="3">
        <v>6515</v>
      </c>
      <c r="I245" s="4">
        <v>30</v>
      </c>
      <c r="J245" s="5">
        <v>5.12</v>
      </c>
      <c r="K245" s="4">
        <v>70</v>
      </c>
      <c r="L245" s="3">
        <f t="shared" si="9"/>
        <v>1954.5000000000002</v>
      </c>
      <c r="M245" s="3">
        <f t="shared" si="10"/>
        <v>24.817300063636992</v>
      </c>
      <c r="N245" s="3">
        <v>114.7</v>
      </c>
      <c r="O245" s="5">
        <f t="shared" si="11"/>
        <v>21.636704501863115</v>
      </c>
      <c r="P245" s="2" t="s">
        <v>36</v>
      </c>
    </row>
    <row r="246" spans="1:16" x14ac:dyDescent="0.2">
      <c r="A246" s="2" t="s">
        <v>496</v>
      </c>
      <c r="B246" s="2" t="s">
        <v>497</v>
      </c>
      <c r="C246" s="2" t="s">
        <v>56</v>
      </c>
      <c r="D246" s="2" t="s">
        <v>57</v>
      </c>
      <c r="E246" s="2" t="s">
        <v>156</v>
      </c>
      <c r="F246" s="2" t="s">
        <v>21</v>
      </c>
      <c r="G246" s="2" t="s">
        <v>22</v>
      </c>
      <c r="H246" s="3">
        <v>9701</v>
      </c>
      <c r="I246" s="4">
        <v>25</v>
      </c>
      <c r="J246" s="5">
        <v>4.21</v>
      </c>
      <c r="K246" s="4">
        <v>90</v>
      </c>
      <c r="L246" s="3">
        <f t="shared" si="9"/>
        <v>970.0999999999998</v>
      </c>
      <c r="M246" s="3">
        <f t="shared" si="10"/>
        <v>47.103280192761382</v>
      </c>
      <c r="N246" s="3">
        <v>103.1</v>
      </c>
      <c r="O246" s="5">
        <f t="shared" si="11"/>
        <v>45.686983698119676</v>
      </c>
      <c r="P246" s="2" t="s">
        <v>29</v>
      </c>
    </row>
    <row r="247" spans="1:16" x14ac:dyDescent="0.2">
      <c r="A247" s="2" t="s">
        <v>498</v>
      </c>
      <c r="B247" s="2" t="s">
        <v>499</v>
      </c>
      <c r="C247" s="2" t="s">
        <v>146</v>
      </c>
      <c r="D247" s="2" t="s">
        <v>19</v>
      </c>
      <c r="E247" s="2" t="s">
        <v>156</v>
      </c>
      <c r="F247" s="2" t="s">
        <v>21</v>
      </c>
      <c r="G247" s="2" t="s">
        <v>44</v>
      </c>
      <c r="H247" s="3">
        <v>17818</v>
      </c>
      <c r="I247" s="4">
        <v>30</v>
      </c>
      <c r="J247" s="5">
        <v>4.38</v>
      </c>
      <c r="K247" s="4">
        <v>70</v>
      </c>
      <c r="L247" s="3">
        <f t="shared" si="9"/>
        <v>5345.4000000000005</v>
      </c>
      <c r="M247" s="3">
        <f t="shared" si="10"/>
        <v>62.310641692458788</v>
      </c>
      <c r="N247" s="3">
        <v>191.1</v>
      </c>
      <c r="O247" s="5">
        <f t="shared" si="11"/>
        <v>32.606301251940756</v>
      </c>
      <c r="P247" s="2" t="s">
        <v>36</v>
      </c>
    </row>
    <row r="248" spans="1:16" x14ac:dyDescent="0.2">
      <c r="A248" s="2" t="s">
        <v>500</v>
      </c>
      <c r="B248" s="2" t="s">
        <v>382</v>
      </c>
      <c r="C248" s="2" t="s">
        <v>18</v>
      </c>
      <c r="D248" s="2" t="s">
        <v>19</v>
      </c>
      <c r="E248" s="2" t="s">
        <v>156</v>
      </c>
      <c r="F248" s="2" t="s">
        <v>28</v>
      </c>
      <c r="G248" s="2" t="s">
        <v>44</v>
      </c>
      <c r="H248" s="3">
        <v>8698</v>
      </c>
      <c r="I248" s="4">
        <v>20</v>
      </c>
      <c r="J248" s="5">
        <v>4.92</v>
      </c>
      <c r="K248" s="4">
        <v>80</v>
      </c>
      <c r="L248" s="3">
        <f t="shared" si="9"/>
        <v>1739.5999999999997</v>
      </c>
      <c r="M248" s="3">
        <f t="shared" si="10"/>
        <v>45.615400229330831</v>
      </c>
      <c r="N248" s="3">
        <v>128.69999999999999</v>
      </c>
      <c r="O248" s="5">
        <f t="shared" si="11"/>
        <v>35.443201421391478</v>
      </c>
      <c r="P248" s="2" t="s">
        <v>36</v>
      </c>
    </row>
    <row r="249" spans="1:16" x14ac:dyDescent="0.2">
      <c r="A249" s="2" t="s">
        <v>501</v>
      </c>
      <c r="B249" s="2" t="s">
        <v>502</v>
      </c>
      <c r="C249" s="2" t="s">
        <v>175</v>
      </c>
      <c r="D249" s="2" t="s">
        <v>176</v>
      </c>
      <c r="E249" s="2" t="s">
        <v>177</v>
      </c>
      <c r="F249" s="2" t="s">
        <v>59</v>
      </c>
      <c r="G249" s="2" t="s">
        <v>22</v>
      </c>
      <c r="H249" s="3">
        <v>10214</v>
      </c>
      <c r="I249" s="4">
        <v>25</v>
      </c>
      <c r="J249" s="5">
        <v>5.75</v>
      </c>
      <c r="K249" s="4">
        <v>90</v>
      </c>
      <c r="L249" s="3">
        <f t="shared" si="9"/>
        <v>1021.3999999999997</v>
      </c>
      <c r="M249" s="3">
        <f t="shared" si="10"/>
        <v>57.831235149105275</v>
      </c>
      <c r="N249" s="3">
        <v>174.7</v>
      </c>
      <c r="O249" s="5">
        <f t="shared" si="11"/>
        <v>33.103168373843893</v>
      </c>
      <c r="P249" s="2" t="s">
        <v>23</v>
      </c>
    </row>
    <row r="250" spans="1:16" x14ac:dyDescent="0.2">
      <c r="A250" s="2" t="s">
        <v>503</v>
      </c>
      <c r="B250" s="2" t="s">
        <v>504</v>
      </c>
      <c r="C250" s="2" t="s">
        <v>67</v>
      </c>
      <c r="D250" s="2" t="s">
        <v>67</v>
      </c>
      <c r="E250" s="2" t="s">
        <v>97</v>
      </c>
      <c r="F250" s="2" t="s">
        <v>21</v>
      </c>
      <c r="G250" s="2" t="s">
        <v>44</v>
      </c>
      <c r="H250" s="3">
        <v>12938</v>
      </c>
      <c r="I250" s="4">
        <v>25</v>
      </c>
      <c r="J250" s="5">
        <v>4.0999999999999996</v>
      </c>
      <c r="K250" s="4">
        <v>75</v>
      </c>
      <c r="L250" s="3">
        <f t="shared" si="9"/>
        <v>3234.5</v>
      </c>
      <c r="M250" s="3">
        <f t="shared" si="10"/>
        <v>51.755946859321462</v>
      </c>
      <c r="N250" s="3">
        <v>138.80000000000001</v>
      </c>
      <c r="O250" s="5">
        <f t="shared" si="11"/>
        <v>37.288146152248892</v>
      </c>
      <c r="P250" s="2" t="s">
        <v>69</v>
      </c>
    </row>
    <row r="251" spans="1:16" x14ac:dyDescent="0.2">
      <c r="A251" s="2" t="s">
        <v>505</v>
      </c>
      <c r="B251" s="2" t="s">
        <v>506</v>
      </c>
      <c r="C251" s="2" t="s">
        <v>100</v>
      </c>
      <c r="D251" s="2" t="s">
        <v>32</v>
      </c>
      <c r="E251" s="2" t="s">
        <v>20</v>
      </c>
      <c r="F251" s="2" t="s">
        <v>50</v>
      </c>
      <c r="G251" s="2" t="s">
        <v>22</v>
      </c>
      <c r="H251" s="3">
        <v>12419</v>
      </c>
      <c r="I251" s="4">
        <v>30</v>
      </c>
      <c r="J251" s="5">
        <v>5.13</v>
      </c>
      <c r="K251" s="4">
        <v>80</v>
      </c>
      <c r="L251" s="3">
        <f t="shared" si="9"/>
        <v>2483.7999999999993</v>
      </c>
      <c r="M251" s="3">
        <f t="shared" si="10"/>
        <v>54.126438908253974</v>
      </c>
      <c r="N251" s="3">
        <v>161.1</v>
      </c>
      <c r="O251" s="5">
        <f t="shared" si="11"/>
        <v>33.598037807730584</v>
      </c>
      <c r="P251" s="2" t="s">
        <v>36</v>
      </c>
    </row>
    <row r="252" spans="1:16" x14ac:dyDescent="0.2">
      <c r="A252" s="2" t="s">
        <v>507</v>
      </c>
      <c r="B252" s="2" t="s">
        <v>170</v>
      </c>
      <c r="C252" s="2" t="s">
        <v>67</v>
      </c>
      <c r="D252" s="2" t="s">
        <v>67</v>
      </c>
      <c r="E252" s="2" t="s">
        <v>97</v>
      </c>
      <c r="F252" s="2" t="s">
        <v>21</v>
      </c>
      <c r="G252" s="2" t="s">
        <v>98</v>
      </c>
      <c r="H252" s="3">
        <v>10524</v>
      </c>
      <c r="I252" s="4">
        <v>30</v>
      </c>
      <c r="J252" s="5">
        <v>5.09</v>
      </c>
      <c r="K252" s="4">
        <v>80</v>
      </c>
      <c r="L252" s="3">
        <f t="shared" si="9"/>
        <v>2104.7999999999997</v>
      </c>
      <c r="M252" s="3">
        <f t="shared" si="10"/>
        <v>45.6603079297333</v>
      </c>
      <c r="N252" s="3">
        <v>127.1</v>
      </c>
      <c r="O252" s="5">
        <f t="shared" si="11"/>
        <v>35.924711195698897</v>
      </c>
      <c r="P252" s="2" t="s">
        <v>36</v>
      </c>
    </row>
    <row r="253" spans="1:16" x14ac:dyDescent="0.2">
      <c r="A253" s="2" t="s">
        <v>508</v>
      </c>
      <c r="B253" s="2" t="s">
        <v>189</v>
      </c>
      <c r="C253" s="2" t="s">
        <v>100</v>
      </c>
      <c r="D253" s="2" t="s">
        <v>32</v>
      </c>
      <c r="E253" s="2" t="s">
        <v>64</v>
      </c>
      <c r="F253" s="2" t="s">
        <v>28</v>
      </c>
      <c r="G253" s="2" t="s">
        <v>35</v>
      </c>
      <c r="H253" s="3">
        <v>17579</v>
      </c>
      <c r="I253" s="4">
        <v>30</v>
      </c>
      <c r="J253" s="5">
        <v>4.5199999999999996</v>
      </c>
      <c r="K253" s="4">
        <v>80</v>
      </c>
      <c r="L253" s="3">
        <f t="shared" si="9"/>
        <v>3515.7999999999993</v>
      </c>
      <c r="M253" s="3">
        <f t="shared" si="10"/>
        <v>71.423386655632484</v>
      </c>
      <c r="N253" s="3">
        <v>242.3</v>
      </c>
      <c r="O253" s="5">
        <f t="shared" si="11"/>
        <v>29.477254088168586</v>
      </c>
      <c r="P253" s="2" t="s">
        <v>36</v>
      </c>
    </row>
    <row r="254" spans="1:16" x14ac:dyDescent="0.2">
      <c r="A254" s="2" t="s">
        <v>509</v>
      </c>
      <c r="B254" s="2" t="s">
        <v>499</v>
      </c>
      <c r="C254" s="2" t="s">
        <v>32</v>
      </c>
      <c r="D254" s="2" t="s">
        <v>32</v>
      </c>
      <c r="E254" s="2" t="s">
        <v>107</v>
      </c>
      <c r="F254" s="2" t="s">
        <v>21</v>
      </c>
      <c r="G254" s="2" t="s">
        <v>22</v>
      </c>
      <c r="H254" s="3">
        <v>14905</v>
      </c>
      <c r="I254" s="4">
        <v>20</v>
      </c>
      <c r="J254" s="5">
        <v>5.41</v>
      </c>
      <c r="K254" s="4">
        <v>80</v>
      </c>
      <c r="L254" s="3">
        <f t="shared" si="9"/>
        <v>2980.9999999999995</v>
      </c>
      <c r="M254" s="3">
        <f t="shared" si="10"/>
        <v>81.418748151697827</v>
      </c>
      <c r="N254" s="3">
        <v>163.9</v>
      </c>
      <c r="O254" s="5">
        <f t="shared" si="11"/>
        <v>49.675868304879693</v>
      </c>
      <c r="P254" s="2" t="s">
        <v>29</v>
      </c>
    </row>
    <row r="255" spans="1:16" x14ac:dyDescent="0.2">
      <c r="A255" s="2" t="s">
        <v>510</v>
      </c>
      <c r="B255" s="2" t="s">
        <v>511</v>
      </c>
      <c r="C255" s="2" t="s">
        <v>142</v>
      </c>
      <c r="D255" s="2" t="s">
        <v>143</v>
      </c>
      <c r="E255" s="2" t="s">
        <v>88</v>
      </c>
      <c r="F255" s="2" t="s">
        <v>59</v>
      </c>
      <c r="G255" s="2" t="s">
        <v>98</v>
      </c>
      <c r="H255" s="3">
        <v>2780</v>
      </c>
      <c r="I255" s="4">
        <v>15</v>
      </c>
      <c r="J255" s="5">
        <v>4.4000000000000004</v>
      </c>
      <c r="K255" s="4">
        <v>70</v>
      </c>
      <c r="L255" s="3">
        <f t="shared" si="9"/>
        <v>834.00000000000011</v>
      </c>
      <c r="M255" s="3">
        <f t="shared" si="10"/>
        <v>14.787507096697436</v>
      </c>
      <c r="N255" s="3">
        <v>48.6</v>
      </c>
      <c r="O255" s="5">
        <f t="shared" si="11"/>
        <v>30.426969334768383</v>
      </c>
      <c r="P255" s="2" t="s">
        <v>36</v>
      </c>
    </row>
    <row r="256" spans="1:16" x14ac:dyDescent="0.2">
      <c r="A256" s="2" t="s">
        <v>512</v>
      </c>
      <c r="B256" s="2" t="s">
        <v>305</v>
      </c>
      <c r="C256" s="2" t="s">
        <v>39</v>
      </c>
      <c r="D256" s="2" t="s">
        <v>40</v>
      </c>
      <c r="E256" s="2" t="s">
        <v>20</v>
      </c>
      <c r="F256" s="2" t="s">
        <v>59</v>
      </c>
      <c r="G256" s="2" t="s">
        <v>35</v>
      </c>
      <c r="H256" s="3">
        <v>4835</v>
      </c>
      <c r="I256" s="4">
        <v>15</v>
      </c>
      <c r="J256" s="5">
        <v>4.57</v>
      </c>
      <c r="K256" s="4">
        <v>75</v>
      </c>
      <c r="L256" s="3">
        <f t="shared" si="9"/>
        <v>1208.75</v>
      </c>
      <c r="M256" s="3">
        <f t="shared" si="10"/>
        <v>27.870474837928395</v>
      </c>
      <c r="N256" s="3">
        <v>53.9</v>
      </c>
      <c r="O256" s="5">
        <f t="shared" si="11"/>
        <v>51.707745524913541</v>
      </c>
      <c r="P256" s="2" t="s">
        <v>23</v>
      </c>
    </row>
    <row r="257" spans="1:16" x14ac:dyDescent="0.2">
      <c r="A257" s="2" t="s">
        <v>513</v>
      </c>
      <c r="B257" s="2" t="s">
        <v>514</v>
      </c>
      <c r="C257" s="2" t="s">
        <v>62</v>
      </c>
      <c r="D257" s="2" t="s">
        <v>63</v>
      </c>
      <c r="E257" s="2" t="s">
        <v>64</v>
      </c>
      <c r="F257" s="2" t="s">
        <v>21</v>
      </c>
      <c r="G257" s="2" t="s">
        <v>44</v>
      </c>
      <c r="H257" s="3">
        <v>10453</v>
      </c>
      <c r="I257" s="4">
        <v>15</v>
      </c>
      <c r="J257" s="5">
        <v>5.22</v>
      </c>
      <c r="K257" s="4">
        <v>70</v>
      </c>
      <c r="L257" s="3">
        <f t="shared" si="9"/>
        <v>3135.9000000000005</v>
      </c>
      <c r="M257" s="3">
        <f t="shared" si="10"/>
        <v>58.705180155376013</v>
      </c>
      <c r="N257" s="3">
        <v>139</v>
      </c>
      <c r="O257" s="5">
        <f t="shared" si="11"/>
        <v>42.23394255782447</v>
      </c>
      <c r="P257" s="2" t="s">
        <v>36</v>
      </c>
    </row>
    <row r="258" spans="1:16" x14ac:dyDescent="0.2">
      <c r="A258" s="2" t="s">
        <v>515</v>
      </c>
      <c r="B258" s="2" t="s">
        <v>490</v>
      </c>
      <c r="C258" s="2" t="s">
        <v>32</v>
      </c>
      <c r="D258" s="2" t="s">
        <v>32</v>
      </c>
      <c r="E258" s="2" t="s">
        <v>20</v>
      </c>
      <c r="F258" s="2" t="s">
        <v>21</v>
      </c>
      <c r="G258" s="2" t="s">
        <v>98</v>
      </c>
      <c r="H258" s="3">
        <v>2487</v>
      </c>
      <c r="I258" s="4">
        <v>20</v>
      </c>
      <c r="J258" s="5">
        <v>5.41</v>
      </c>
      <c r="K258" s="4">
        <v>80</v>
      </c>
      <c r="L258" s="3">
        <f t="shared" ref="L258:L321" si="12">H258*(1-K258/100)</f>
        <v>497.39999999999986</v>
      </c>
      <c r="M258" s="3">
        <f t="shared" ref="M258:M321" si="13">PMT(J258/100/12, I258*12, -(H258*K258/100))</f>
        <v>13.585268477240689</v>
      </c>
      <c r="N258" s="3">
        <v>27.6</v>
      </c>
      <c r="O258" s="5">
        <f t="shared" ref="O258:O321" si="14">IFERROR(M258/N258*100,0)</f>
        <v>49.221987236379306</v>
      </c>
      <c r="P258" s="2" t="s">
        <v>36</v>
      </c>
    </row>
    <row r="259" spans="1:16" x14ac:dyDescent="0.2">
      <c r="A259" s="2" t="s">
        <v>516</v>
      </c>
      <c r="B259" s="2" t="s">
        <v>517</v>
      </c>
      <c r="C259" s="2" t="s">
        <v>53</v>
      </c>
      <c r="D259" s="2" t="s">
        <v>19</v>
      </c>
      <c r="E259" s="2" t="s">
        <v>68</v>
      </c>
      <c r="F259" s="2" t="s">
        <v>59</v>
      </c>
      <c r="G259" s="2" t="s">
        <v>98</v>
      </c>
      <c r="H259" s="3">
        <v>16028</v>
      </c>
      <c r="I259" s="4">
        <v>25</v>
      </c>
      <c r="J259" s="5">
        <v>5.25</v>
      </c>
      <c r="K259" s="4">
        <v>90</v>
      </c>
      <c r="L259" s="3">
        <f t="shared" si="12"/>
        <v>1602.7999999999997</v>
      </c>
      <c r="M259" s="3">
        <f t="shared" si="13"/>
        <v>86.442681408886884</v>
      </c>
      <c r="N259" s="3">
        <v>198.2</v>
      </c>
      <c r="O259" s="5">
        <f t="shared" si="14"/>
        <v>43.61386549388844</v>
      </c>
      <c r="P259" s="2" t="s">
        <v>36</v>
      </c>
    </row>
    <row r="260" spans="1:16" x14ac:dyDescent="0.2">
      <c r="A260" s="2" t="s">
        <v>518</v>
      </c>
      <c r="B260" s="2" t="s">
        <v>253</v>
      </c>
      <c r="C260" s="2" t="s">
        <v>131</v>
      </c>
      <c r="D260" s="2" t="s">
        <v>27</v>
      </c>
      <c r="E260" s="2" t="s">
        <v>78</v>
      </c>
      <c r="F260" s="2" t="s">
        <v>50</v>
      </c>
      <c r="G260" s="2" t="s">
        <v>98</v>
      </c>
      <c r="H260" s="3">
        <v>16967</v>
      </c>
      <c r="I260" s="4">
        <v>15</v>
      </c>
      <c r="J260" s="5">
        <v>4.66</v>
      </c>
      <c r="K260" s="4">
        <v>80</v>
      </c>
      <c r="L260" s="3">
        <f t="shared" si="12"/>
        <v>3393.3999999999992</v>
      </c>
      <c r="M260" s="3">
        <f t="shared" si="13"/>
        <v>104.95050467368736</v>
      </c>
      <c r="N260" s="3">
        <v>220</v>
      </c>
      <c r="O260" s="5">
        <f t="shared" si="14"/>
        <v>47.704774851676071</v>
      </c>
      <c r="P260" s="2" t="s">
        <v>36</v>
      </c>
    </row>
    <row r="261" spans="1:16" x14ac:dyDescent="0.2">
      <c r="A261" s="2" t="s">
        <v>519</v>
      </c>
      <c r="B261" s="2" t="s">
        <v>520</v>
      </c>
      <c r="C261" s="2" t="s">
        <v>32</v>
      </c>
      <c r="D261" s="2" t="s">
        <v>32</v>
      </c>
      <c r="E261" s="2" t="s">
        <v>64</v>
      </c>
      <c r="F261" s="2" t="s">
        <v>59</v>
      </c>
      <c r="G261" s="2" t="s">
        <v>22</v>
      </c>
      <c r="H261" s="3">
        <v>2027</v>
      </c>
      <c r="I261" s="4">
        <v>15</v>
      </c>
      <c r="J261" s="5">
        <v>5.61</v>
      </c>
      <c r="K261" s="4">
        <v>70</v>
      </c>
      <c r="L261" s="3">
        <f t="shared" si="12"/>
        <v>608.10000000000014</v>
      </c>
      <c r="M261" s="3">
        <f t="shared" si="13"/>
        <v>11.676586753843431</v>
      </c>
      <c r="N261" s="3">
        <v>32.5</v>
      </c>
      <c r="O261" s="5">
        <f t="shared" si="14"/>
        <v>35.927959242595172</v>
      </c>
      <c r="P261" s="2" t="s">
        <v>69</v>
      </c>
    </row>
    <row r="262" spans="1:16" x14ac:dyDescent="0.2">
      <c r="A262" s="2" t="s">
        <v>521</v>
      </c>
      <c r="B262" s="2" t="s">
        <v>522</v>
      </c>
      <c r="C262" s="2" t="s">
        <v>142</v>
      </c>
      <c r="D262" s="2" t="s">
        <v>143</v>
      </c>
      <c r="E262" s="2" t="s">
        <v>177</v>
      </c>
      <c r="F262" s="2" t="s">
        <v>50</v>
      </c>
      <c r="G262" s="2" t="s">
        <v>22</v>
      </c>
      <c r="H262" s="3">
        <v>12184</v>
      </c>
      <c r="I262" s="4">
        <v>20</v>
      </c>
      <c r="J262" s="5">
        <v>5.64</v>
      </c>
      <c r="K262" s="4">
        <v>85</v>
      </c>
      <c r="L262" s="3">
        <f t="shared" si="12"/>
        <v>1827.6000000000004</v>
      </c>
      <c r="M262" s="3">
        <f t="shared" si="13"/>
        <v>72.061740019677586</v>
      </c>
      <c r="N262" s="3">
        <v>141.80000000000001</v>
      </c>
      <c r="O262" s="5">
        <f t="shared" si="14"/>
        <v>50.81928069088687</v>
      </c>
      <c r="P262" s="2" t="s">
        <v>36</v>
      </c>
    </row>
    <row r="263" spans="1:16" x14ac:dyDescent="0.2">
      <c r="A263" s="2" t="s">
        <v>523</v>
      </c>
      <c r="B263" s="2" t="s">
        <v>524</v>
      </c>
      <c r="C263" s="2" t="s">
        <v>56</v>
      </c>
      <c r="D263" s="2" t="s">
        <v>57</v>
      </c>
      <c r="E263" s="2" t="s">
        <v>58</v>
      </c>
      <c r="F263" s="2" t="s">
        <v>28</v>
      </c>
      <c r="G263" s="2" t="s">
        <v>44</v>
      </c>
      <c r="H263" s="3">
        <v>12594</v>
      </c>
      <c r="I263" s="4">
        <v>30</v>
      </c>
      <c r="J263" s="5">
        <v>3.99</v>
      </c>
      <c r="K263" s="4">
        <v>80</v>
      </c>
      <c r="L263" s="3">
        <f t="shared" si="12"/>
        <v>2518.7999999999993</v>
      </c>
      <c r="M263" s="3">
        <f t="shared" si="13"/>
        <v>48.04247918344953</v>
      </c>
      <c r="N263" s="3">
        <v>176.5</v>
      </c>
      <c r="O263" s="5">
        <f t="shared" si="14"/>
        <v>27.219534948130047</v>
      </c>
      <c r="P263" s="2" t="s">
        <v>69</v>
      </c>
    </row>
    <row r="264" spans="1:16" x14ac:dyDescent="0.2">
      <c r="A264" s="2" t="s">
        <v>525</v>
      </c>
      <c r="B264" s="2" t="s">
        <v>526</v>
      </c>
      <c r="C264" s="2" t="s">
        <v>153</v>
      </c>
      <c r="D264" s="2" t="s">
        <v>19</v>
      </c>
      <c r="E264" s="2" t="s">
        <v>114</v>
      </c>
      <c r="F264" s="2" t="s">
        <v>34</v>
      </c>
      <c r="G264" s="2" t="s">
        <v>98</v>
      </c>
      <c r="H264" s="3">
        <v>5631</v>
      </c>
      <c r="I264" s="4">
        <v>15</v>
      </c>
      <c r="J264" s="5">
        <v>4.28</v>
      </c>
      <c r="K264" s="4">
        <v>85</v>
      </c>
      <c r="L264" s="3">
        <f t="shared" si="12"/>
        <v>844.65000000000009</v>
      </c>
      <c r="M264" s="3">
        <f t="shared" si="13"/>
        <v>36.079393384226634</v>
      </c>
      <c r="N264" s="3">
        <v>73</v>
      </c>
      <c r="O264" s="5">
        <f t="shared" si="14"/>
        <v>49.423826553735118</v>
      </c>
      <c r="P264" s="2" t="s">
        <v>36</v>
      </c>
    </row>
    <row r="265" spans="1:16" x14ac:dyDescent="0.2">
      <c r="A265" s="2" t="s">
        <v>527</v>
      </c>
      <c r="B265" s="2" t="s">
        <v>528</v>
      </c>
      <c r="C265" s="2" t="s">
        <v>142</v>
      </c>
      <c r="D265" s="2" t="s">
        <v>143</v>
      </c>
      <c r="E265" s="2" t="s">
        <v>177</v>
      </c>
      <c r="F265" s="2" t="s">
        <v>50</v>
      </c>
      <c r="G265" s="2" t="s">
        <v>22</v>
      </c>
      <c r="H265" s="3">
        <v>4917</v>
      </c>
      <c r="I265" s="4">
        <v>30</v>
      </c>
      <c r="J265" s="5">
        <v>5.65</v>
      </c>
      <c r="K265" s="4">
        <v>90</v>
      </c>
      <c r="L265" s="3">
        <f t="shared" si="12"/>
        <v>491.69999999999987</v>
      </c>
      <c r="M265" s="3">
        <f t="shared" si="13"/>
        <v>25.544415397649388</v>
      </c>
      <c r="N265" s="3">
        <v>60.9</v>
      </c>
      <c r="O265" s="5">
        <f t="shared" si="14"/>
        <v>41.944852869703432</v>
      </c>
      <c r="P265" s="2" t="s">
        <v>36</v>
      </c>
    </row>
    <row r="266" spans="1:16" x14ac:dyDescent="0.2">
      <c r="A266" s="2" t="s">
        <v>529</v>
      </c>
      <c r="B266" s="2" t="s">
        <v>470</v>
      </c>
      <c r="C266" s="2" t="s">
        <v>72</v>
      </c>
      <c r="D266" s="2" t="s">
        <v>73</v>
      </c>
      <c r="E266" s="2" t="s">
        <v>64</v>
      </c>
      <c r="F266" s="2" t="s">
        <v>50</v>
      </c>
      <c r="G266" s="2" t="s">
        <v>98</v>
      </c>
      <c r="H266" s="3">
        <v>15609</v>
      </c>
      <c r="I266" s="4">
        <v>20</v>
      </c>
      <c r="J266" s="5">
        <v>4.92</v>
      </c>
      <c r="K266" s="4">
        <v>70</v>
      </c>
      <c r="L266" s="3">
        <f t="shared" si="12"/>
        <v>4682.7000000000007</v>
      </c>
      <c r="M266" s="3">
        <f t="shared" si="13"/>
        <v>71.626745735476177</v>
      </c>
      <c r="N266" s="3">
        <v>276.3</v>
      </c>
      <c r="O266" s="5">
        <f t="shared" si="14"/>
        <v>25.923541706650806</v>
      </c>
      <c r="P266" s="2" t="s">
        <v>36</v>
      </c>
    </row>
    <row r="267" spans="1:16" x14ac:dyDescent="0.2">
      <c r="A267" s="2" t="s">
        <v>530</v>
      </c>
      <c r="B267" s="2" t="s">
        <v>122</v>
      </c>
      <c r="C267" s="2" t="s">
        <v>47</v>
      </c>
      <c r="D267" s="2" t="s">
        <v>48</v>
      </c>
      <c r="E267" s="2" t="s">
        <v>177</v>
      </c>
      <c r="F267" s="2" t="s">
        <v>21</v>
      </c>
      <c r="G267" s="2" t="s">
        <v>98</v>
      </c>
      <c r="H267" s="3">
        <v>17966</v>
      </c>
      <c r="I267" s="4">
        <v>20</v>
      </c>
      <c r="J267" s="5">
        <v>4.2</v>
      </c>
      <c r="K267" s="4">
        <v>70</v>
      </c>
      <c r="L267" s="3">
        <f t="shared" si="12"/>
        <v>5389.8000000000011</v>
      </c>
      <c r="M267" s="3">
        <f t="shared" si="13"/>
        <v>77.541168827633058</v>
      </c>
      <c r="N267" s="3">
        <v>199.5</v>
      </c>
      <c r="O267" s="5">
        <f t="shared" si="14"/>
        <v>38.867753798312307</v>
      </c>
      <c r="P267" s="2" t="s">
        <v>36</v>
      </c>
    </row>
    <row r="268" spans="1:16" x14ac:dyDescent="0.2">
      <c r="A268" s="2" t="s">
        <v>531</v>
      </c>
      <c r="B268" s="2" t="s">
        <v>532</v>
      </c>
      <c r="C268" s="2" t="s">
        <v>26</v>
      </c>
      <c r="D268" s="2" t="s">
        <v>27</v>
      </c>
      <c r="E268" s="2" t="s">
        <v>88</v>
      </c>
      <c r="F268" s="2" t="s">
        <v>59</v>
      </c>
      <c r="G268" s="2" t="s">
        <v>98</v>
      </c>
      <c r="H268" s="3">
        <v>3213</v>
      </c>
      <c r="I268" s="4">
        <v>30</v>
      </c>
      <c r="J268" s="5">
        <v>4.9400000000000004</v>
      </c>
      <c r="K268" s="4">
        <v>90</v>
      </c>
      <c r="L268" s="3">
        <f t="shared" si="12"/>
        <v>321.29999999999995</v>
      </c>
      <c r="M268" s="3">
        <f t="shared" si="13"/>
        <v>15.417407190326806</v>
      </c>
      <c r="N268" s="3">
        <v>49.6</v>
      </c>
      <c r="O268" s="5">
        <f t="shared" si="14"/>
        <v>31.083482238562109</v>
      </c>
      <c r="P268" s="2" t="s">
        <v>23</v>
      </c>
    </row>
    <row r="269" spans="1:16" x14ac:dyDescent="0.2">
      <c r="A269" s="2" t="s">
        <v>533</v>
      </c>
      <c r="B269" s="2" t="s">
        <v>534</v>
      </c>
      <c r="C269" s="2" t="s">
        <v>47</v>
      </c>
      <c r="D269" s="2" t="s">
        <v>48</v>
      </c>
      <c r="E269" s="2" t="s">
        <v>88</v>
      </c>
      <c r="F269" s="2" t="s">
        <v>59</v>
      </c>
      <c r="G269" s="2" t="s">
        <v>22</v>
      </c>
      <c r="H269" s="3">
        <v>17536</v>
      </c>
      <c r="I269" s="4">
        <v>30</v>
      </c>
      <c r="J269" s="5">
        <v>5.23</v>
      </c>
      <c r="K269" s="4">
        <v>75</v>
      </c>
      <c r="L269" s="3">
        <f t="shared" si="12"/>
        <v>4384</v>
      </c>
      <c r="M269" s="3">
        <f t="shared" si="13"/>
        <v>72.462995201289118</v>
      </c>
      <c r="N269" s="3">
        <v>307.10000000000002</v>
      </c>
      <c r="O269" s="5">
        <f t="shared" si="14"/>
        <v>23.595895539332176</v>
      </c>
      <c r="P269" s="2" t="s">
        <v>29</v>
      </c>
    </row>
    <row r="270" spans="1:16" x14ac:dyDescent="0.2">
      <c r="A270" s="2" t="s">
        <v>535</v>
      </c>
      <c r="B270" s="2" t="s">
        <v>71</v>
      </c>
      <c r="C270" s="2" t="s">
        <v>53</v>
      </c>
      <c r="D270" s="2" t="s">
        <v>19</v>
      </c>
      <c r="E270" s="2" t="s">
        <v>88</v>
      </c>
      <c r="F270" s="2" t="s">
        <v>28</v>
      </c>
      <c r="G270" s="2" t="s">
        <v>22</v>
      </c>
      <c r="H270" s="3">
        <v>14350</v>
      </c>
      <c r="I270" s="4">
        <v>25</v>
      </c>
      <c r="J270" s="5">
        <v>4.87</v>
      </c>
      <c r="K270" s="4">
        <v>85</v>
      </c>
      <c r="L270" s="3">
        <f t="shared" si="12"/>
        <v>2152.5000000000005</v>
      </c>
      <c r="M270" s="3">
        <f t="shared" si="13"/>
        <v>70.384573692564302</v>
      </c>
      <c r="N270" s="3">
        <v>236.8</v>
      </c>
      <c r="O270" s="5">
        <f t="shared" si="14"/>
        <v>29.723215241792357</v>
      </c>
      <c r="P270" s="2" t="s">
        <v>36</v>
      </c>
    </row>
    <row r="271" spans="1:16" x14ac:dyDescent="0.2">
      <c r="A271" s="2" t="s">
        <v>536</v>
      </c>
      <c r="B271" s="2" t="s">
        <v>320</v>
      </c>
      <c r="C271" s="2" t="s">
        <v>146</v>
      </c>
      <c r="D271" s="2" t="s">
        <v>19</v>
      </c>
      <c r="E271" s="2" t="s">
        <v>33</v>
      </c>
      <c r="F271" s="2" t="s">
        <v>34</v>
      </c>
      <c r="G271" s="2" t="s">
        <v>44</v>
      </c>
      <c r="H271" s="3">
        <v>9107</v>
      </c>
      <c r="I271" s="4">
        <v>15</v>
      </c>
      <c r="J271" s="5">
        <v>5.56</v>
      </c>
      <c r="K271" s="4">
        <v>90</v>
      </c>
      <c r="L271" s="3">
        <f t="shared" si="12"/>
        <v>910.69999999999982</v>
      </c>
      <c r="M271" s="3">
        <f t="shared" si="13"/>
        <v>67.231859683690615</v>
      </c>
      <c r="N271" s="3">
        <v>96.6</v>
      </c>
      <c r="O271" s="5">
        <f t="shared" si="14"/>
        <v>69.59819843032156</v>
      </c>
      <c r="P271" s="2" t="s">
        <v>36</v>
      </c>
    </row>
    <row r="272" spans="1:16" x14ac:dyDescent="0.2">
      <c r="A272" s="2" t="s">
        <v>537</v>
      </c>
      <c r="B272" s="2" t="s">
        <v>538</v>
      </c>
      <c r="C272" s="2" t="s">
        <v>18</v>
      </c>
      <c r="D272" s="2" t="s">
        <v>19</v>
      </c>
      <c r="E272" s="2" t="s">
        <v>33</v>
      </c>
      <c r="F272" s="2" t="s">
        <v>59</v>
      </c>
      <c r="G272" s="2" t="s">
        <v>35</v>
      </c>
      <c r="H272" s="3">
        <v>6182</v>
      </c>
      <c r="I272" s="4">
        <v>20</v>
      </c>
      <c r="J272" s="5">
        <v>4.95</v>
      </c>
      <c r="K272" s="4">
        <v>85</v>
      </c>
      <c r="L272" s="3">
        <f t="shared" si="12"/>
        <v>927.30000000000018</v>
      </c>
      <c r="M272" s="3">
        <f t="shared" si="13"/>
        <v>34.533718222396331</v>
      </c>
      <c r="N272" s="3">
        <v>68.5</v>
      </c>
      <c r="O272" s="5">
        <f t="shared" si="14"/>
        <v>50.41418718598004</v>
      </c>
      <c r="P272" s="2" t="s">
        <v>29</v>
      </c>
    </row>
    <row r="273" spans="1:16" x14ac:dyDescent="0.2">
      <c r="A273" s="2" t="s">
        <v>539</v>
      </c>
      <c r="B273" s="2" t="s">
        <v>334</v>
      </c>
      <c r="C273" s="2" t="s">
        <v>72</v>
      </c>
      <c r="D273" s="2" t="s">
        <v>73</v>
      </c>
      <c r="E273" s="2" t="s">
        <v>81</v>
      </c>
      <c r="F273" s="2" t="s">
        <v>50</v>
      </c>
      <c r="G273" s="2" t="s">
        <v>35</v>
      </c>
      <c r="H273" s="3">
        <v>15081</v>
      </c>
      <c r="I273" s="4">
        <v>25</v>
      </c>
      <c r="J273" s="5">
        <v>4.92</v>
      </c>
      <c r="K273" s="4">
        <v>85</v>
      </c>
      <c r="L273" s="3">
        <f t="shared" si="12"/>
        <v>2262.1500000000005</v>
      </c>
      <c r="M273" s="3">
        <f t="shared" si="13"/>
        <v>74.34144904388215</v>
      </c>
      <c r="N273" s="3">
        <v>164.7</v>
      </c>
      <c r="O273" s="5">
        <f t="shared" si="14"/>
        <v>45.137491829922375</v>
      </c>
      <c r="P273" s="2" t="s">
        <v>36</v>
      </c>
    </row>
    <row r="274" spans="1:16" x14ac:dyDescent="0.2">
      <c r="A274" s="2" t="s">
        <v>540</v>
      </c>
      <c r="B274" s="2" t="s">
        <v>541</v>
      </c>
      <c r="C274" s="2" t="s">
        <v>47</v>
      </c>
      <c r="D274" s="2" t="s">
        <v>48</v>
      </c>
      <c r="E274" s="2" t="s">
        <v>78</v>
      </c>
      <c r="F274" s="2" t="s">
        <v>28</v>
      </c>
      <c r="G274" s="2" t="s">
        <v>22</v>
      </c>
      <c r="H274" s="3">
        <v>11261</v>
      </c>
      <c r="I274" s="4">
        <v>25</v>
      </c>
      <c r="J274" s="5">
        <v>3.95</v>
      </c>
      <c r="K274" s="4">
        <v>90</v>
      </c>
      <c r="L274" s="3">
        <f t="shared" si="12"/>
        <v>1126.0999999999997</v>
      </c>
      <c r="M274" s="3">
        <f t="shared" si="13"/>
        <v>53.216331336944492</v>
      </c>
      <c r="N274" s="3">
        <v>171.9</v>
      </c>
      <c r="O274" s="5">
        <f t="shared" si="14"/>
        <v>30.957726199502321</v>
      </c>
      <c r="P274" s="2" t="s">
        <v>36</v>
      </c>
    </row>
    <row r="275" spans="1:16" x14ac:dyDescent="0.2">
      <c r="A275" s="2" t="s">
        <v>542</v>
      </c>
      <c r="B275" s="2" t="s">
        <v>543</v>
      </c>
      <c r="C275" s="2" t="s">
        <v>146</v>
      </c>
      <c r="D275" s="2" t="s">
        <v>19</v>
      </c>
      <c r="E275" s="2" t="s">
        <v>177</v>
      </c>
      <c r="F275" s="2" t="s">
        <v>28</v>
      </c>
      <c r="G275" s="2" t="s">
        <v>35</v>
      </c>
      <c r="H275" s="3">
        <v>13406</v>
      </c>
      <c r="I275" s="4">
        <v>25</v>
      </c>
      <c r="J275" s="5">
        <v>4.0199999999999996</v>
      </c>
      <c r="K275" s="4">
        <v>80</v>
      </c>
      <c r="L275" s="3">
        <f t="shared" si="12"/>
        <v>2681.1999999999994</v>
      </c>
      <c r="M275" s="3">
        <f t="shared" si="13"/>
        <v>56.727947464556799</v>
      </c>
      <c r="N275" s="3">
        <v>239.8</v>
      </c>
      <c r="O275" s="5">
        <f t="shared" si="14"/>
        <v>23.656358408906087</v>
      </c>
      <c r="P275" s="2" t="s">
        <v>29</v>
      </c>
    </row>
    <row r="276" spans="1:16" x14ac:dyDescent="0.2">
      <c r="A276" s="2" t="s">
        <v>544</v>
      </c>
      <c r="B276" s="2" t="s">
        <v>409</v>
      </c>
      <c r="C276" s="2" t="s">
        <v>146</v>
      </c>
      <c r="D276" s="2" t="s">
        <v>19</v>
      </c>
      <c r="E276" s="2" t="s">
        <v>78</v>
      </c>
      <c r="F276" s="2" t="s">
        <v>28</v>
      </c>
      <c r="G276" s="2" t="s">
        <v>44</v>
      </c>
      <c r="H276" s="3">
        <v>6705</v>
      </c>
      <c r="I276" s="4">
        <v>15</v>
      </c>
      <c r="J276" s="5">
        <v>3.98</v>
      </c>
      <c r="K276" s="4">
        <v>85</v>
      </c>
      <c r="L276" s="3">
        <f t="shared" si="12"/>
        <v>1005.7500000000001</v>
      </c>
      <c r="M276" s="3">
        <f t="shared" si="13"/>
        <v>42.099566357827307</v>
      </c>
      <c r="N276" s="3">
        <v>100.4</v>
      </c>
      <c r="O276" s="5">
        <f t="shared" si="14"/>
        <v>41.931839001820023</v>
      </c>
      <c r="P276" s="2" t="s">
        <v>36</v>
      </c>
    </row>
    <row r="277" spans="1:16" x14ac:dyDescent="0.2">
      <c r="A277" s="2" t="s">
        <v>545</v>
      </c>
      <c r="B277" s="2" t="s">
        <v>546</v>
      </c>
      <c r="C277" s="2" t="s">
        <v>77</v>
      </c>
      <c r="D277" s="2" t="s">
        <v>19</v>
      </c>
      <c r="E277" s="2" t="s">
        <v>58</v>
      </c>
      <c r="F277" s="2" t="s">
        <v>28</v>
      </c>
      <c r="G277" s="2" t="s">
        <v>44</v>
      </c>
      <c r="H277" s="3">
        <v>7802</v>
      </c>
      <c r="I277" s="4">
        <v>15</v>
      </c>
      <c r="J277" s="5">
        <v>4.59</v>
      </c>
      <c r="K277" s="4">
        <v>80</v>
      </c>
      <c r="L277" s="3">
        <f t="shared" si="12"/>
        <v>1560.3999999999996</v>
      </c>
      <c r="M277" s="3">
        <f t="shared" si="13"/>
        <v>48.035414361183868</v>
      </c>
      <c r="N277" s="3">
        <v>99.8</v>
      </c>
      <c r="O277" s="5">
        <f t="shared" si="14"/>
        <v>48.131677716617105</v>
      </c>
      <c r="P277" s="2" t="s">
        <v>36</v>
      </c>
    </row>
    <row r="278" spans="1:16" x14ac:dyDescent="0.2">
      <c r="A278" s="2" t="s">
        <v>547</v>
      </c>
      <c r="B278" s="2" t="s">
        <v>548</v>
      </c>
      <c r="C278" s="2" t="s">
        <v>67</v>
      </c>
      <c r="D278" s="2" t="s">
        <v>67</v>
      </c>
      <c r="E278" s="2" t="s">
        <v>114</v>
      </c>
      <c r="F278" s="2" t="s">
        <v>59</v>
      </c>
      <c r="G278" s="2" t="s">
        <v>35</v>
      </c>
      <c r="H278" s="3">
        <v>7738</v>
      </c>
      <c r="I278" s="4">
        <v>30</v>
      </c>
      <c r="J278" s="5">
        <v>5.34</v>
      </c>
      <c r="K278" s="4">
        <v>70</v>
      </c>
      <c r="L278" s="3">
        <f t="shared" si="12"/>
        <v>2321.4000000000005</v>
      </c>
      <c r="M278" s="3">
        <f t="shared" si="13"/>
        <v>30.213320341640802</v>
      </c>
      <c r="N278" s="3">
        <v>134.80000000000001</v>
      </c>
      <c r="O278" s="5">
        <f t="shared" si="14"/>
        <v>22.413442389941245</v>
      </c>
      <c r="P278" s="2" t="s">
        <v>36</v>
      </c>
    </row>
    <row r="279" spans="1:16" x14ac:dyDescent="0.2">
      <c r="A279" s="2" t="s">
        <v>549</v>
      </c>
      <c r="B279" s="2" t="s">
        <v>550</v>
      </c>
      <c r="C279" s="2" t="s">
        <v>56</v>
      </c>
      <c r="D279" s="2" t="s">
        <v>57</v>
      </c>
      <c r="E279" s="2" t="s">
        <v>114</v>
      </c>
      <c r="F279" s="2" t="s">
        <v>50</v>
      </c>
      <c r="G279" s="2" t="s">
        <v>22</v>
      </c>
      <c r="H279" s="3">
        <v>9728</v>
      </c>
      <c r="I279" s="4">
        <v>15</v>
      </c>
      <c r="J279" s="5">
        <v>5.34</v>
      </c>
      <c r="K279" s="4">
        <v>90</v>
      </c>
      <c r="L279" s="3">
        <f t="shared" si="12"/>
        <v>972.79999999999973</v>
      </c>
      <c r="M279" s="3">
        <f t="shared" si="13"/>
        <v>70.796106183054576</v>
      </c>
      <c r="N279" s="3">
        <v>175.3</v>
      </c>
      <c r="O279" s="5">
        <f t="shared" si="14"/>
        <v>40.385685215661475</v>
      </c>
      <c r="P279" s="2" t="s">
        <v>29</v>
      </c>
    </row>
    <row r="280" spans="1:16" x14ac:dyDescent="0.2">
      <c r="A280" s="2" t="s">
        <v>551</v>
      </c>
      <c r="B280" s="2" t="s">
        <v>116</v>
      </c>
      <c r="C280" s="2" t="s">
        <v>32</v>
      </c>
      <c r="D280" s="2" t="s">
        <v>32</v>
      </c>
      <c r="E280" s="2" t="s">
        <v>68</v>
      </c>
      <c r="F280" s="2" t="s">
        <v>28</v>
      </c>
      <c r="G280" s="2" t="s">
        <v>22</v>
      </c>
      <c r="H280" s="3">
        <v>3089</v>
      </c>
      <c r="I280" s="4">
        <v>20</v>
      </c>
      <c r="J280" s="5">
        <v>5.61</v>
      </c>
      <c r="K280" s="4">
        <v>70</v>
      </c>
      <c r="L280" s="3">
        <f t="shared" si="12"/>
        <v>926.70000000000016</v>
      </c>
      <c r="M280" s="3">
        <f t="shared" si="13"/>
        <v>15.008846026144523</v>
      </c>
      <c r="N280" s="3">
        <v>36.299999999999997</v>
      </c>
      <c r="O280" s="5">
        <f t="shared" si="14"/>
        <v>41.346683267615767</v>
      </c>
      <c r="P280" s="2" t="s">
        <v>36</v>
      </c>
    </row>
    <row r="281" spans="1:16" x14ac:dyDescent="0.2">
      <c r="A281" s="2" t="s">
        <v>552</v>
      </c>
      <c r="B281" s="2" t="s">
        <v>133</v>
      </c>
      <c r="C281" s="2" t="s">
        <v>39</v>
      </c>
      <c r="D281" s="2" t="s">
        <v>40</v>
      </c>
      <c r="E281" s="2" t="s">
        <v>177</v>
      </c>
      <c r="F281" s="2" t="s">
        <v>21</v>
      </c>
      <c r="G281" s="2" t="s">
        <v>35</v>
      </c>
      <c r="H281" s="3">
        <v>10803</v>
      </c>
      <c r="I281" s="4">
        <v>30</v>
      </c>
      <c r="J281" s="5">
        <v>4.01</v>
      </c>
      <c r="K281" s="4">
        <v>80</v>
      </c>
      <c r="L281" s="3">
        <f t="shared" si="12"/>
        <v>2160.5999999999995</v>
      </c>
      <c r="M281" s="3">
        <f t="shared" si="13"/>
        <v>41.309979566160024</v>
      </c>
      <c r="N281" s="3">
        <v>178.1</v>
      </c>
      <c r="O281" s="5">
        <f t="shared" si="14"/>
        <v>23.194822889477837</v>
      </c>
      <c r="P281" s="2" t="s">
        <v>36</v>
      </c>
    </row>
    <row r="282" spans="1:16" x14ac:dyDescent="0.2">
      <c r="A282" s="2" t="s">
        <v>553</v>
      </c>
      <c r="B282" s="2" t="s">
        <v>405</v>
      </c>
      <c r="C282" s="2" t="s">
        <v>32</v>
      </c>
      <c r="D282" s="2" t="s">
        <v>32</v>
      </c>
      <c r="E282" s="2" t="s">
        <v>78</v>
      </c>
      <c r="F282" s="2" t="s">
        <v>21</v>
      </c>
      <c r="G282" s="2" t="s">
        <v>22</v>
      </c>
      <c r="H282" s="3">
        <v>1583</v>
      </c>
      <c r="I282" s="4">
        <v>30</v>
      </c>
      <c r="J282" s="5">
        <v>5.27</v>
      </c>
      <c r="K282" s="4">
        <v>80</v>
      </c>
      <c r="L282" s="3">
        <f t="shared" si="12"/>
        <v>316.59999999999991</v>
      </c>
      <c r="M282" s="3">
        <f t="shared" si="13"/>
        <v>7.0088035301467766</v>
      </c>
      <c r="N282" s="3">
        <v>24.1</v>
      </c>
      <c r="O282" s="5">
        <f t="shared" si="14"/>
        <v>29.08217232426048</v>
      </c>
      <c r="P282" s="2" t="s">
        <v>36</v>
      </c>
    </row>
    <row r="283" spans="1:16" x14ac:dyDescent="0.2">
      <c r="A283" s="2" t="s">
        <v>554</v>
      </c>
      <c r="B283" s="2" t="s">
        <v>555</v>
      </c>
      <c r="C283" s="2" t="s">
        <v>56</v>
      </c>
      <c r="D283" s="2" t="s">
        <v>57</v>
      </c>
      <c r="E283" s="2" t="s">
        <v>114</v>
      </c>
      <c r="F283" s="2" t="s">
        <v>59</v>
      </c>
      <c r="G283" s="2" t="s">
        <v>35</v>
      </c>
      <c r="H283" s="3">
        <v>11937</v>
      </c>
      <c r="I283" s="4">
        <v>25</v>
      </c>
      <c r="J283" s="5">
        <v>3.97</v>
      </c>
      <c r="K283" s="4">
        <v>80</v>
      </c>
      <c r="L283" s="3">
        <f t="shared" si="12"/>
        <v>2387.3999999999996</v>
      </c>
      <c r="M283" s="3">
        <f t="shared" si="13"/>
        <v>50.248255881307117</v>
      </c>
      <c r="N283" s="3">
        <v>133.6</v>
      </c>
      <c r="O283" s="5">
        <f t="shared" si="14"/>
        <v>37.610969971038259</v>
      </c>
      <c r="P283" s="2" t="s">
        <v>36</v>
      </c>
    </row>
    <row r="284" spans="1:16" x14ac:dyDescent="0.2">
      <c r="A284" s="2" t="s">
        <v>556</v>
      </c>
      <c r="B284" s="2" t="s">
        <v>541</v>
      </c>
      <c r="C284" s="2" t="s">
        <v>100</v>
      </c>
      <c r="D284" s="2" t="s">
        <v>32</v>
      </c>
      <c r="E284" s="2" t="s">
        <v>156</v>
      </c>
      <c r="F284" s="2" t="s">
        <v>59</v>
      </c>
      <c r="G284" s="2" t="s">
        <v>35</v>
      </c>
      <c r="H284" s="3">
        <v>16217</v>
      </c>
      <c r="I284" s="4">
        <v>30</v>
      </c>
      <c r="J284" s="5">
        <v>4.6900000000000004</v>
      </c>
      <c r="K284" s="4">
        <v>85</v>
      </c>
      <c r="L284" s="3">
        <f t="shared" si="12"/>
        <v>2432.5500000000002</v>
      </c>
      <c r="M284" s="3">
        <f t="shared" si="13"/>
        <v>71.408541048739806</v>
      </c>
      <c r="N284" s="3">
        <v>195.2</v>
      </c>
      <c r="O284" s="5">
        <f t="shared" si="14"/>
        <v>36.582244389723265</v>
      </c>
      <c r="P284" s="2" t="s">
        <v>36</v>
      </c>
    </row>
    <row r="285" spans="1:16" x14ac:dyDescent="0.2">
      <c r="A285" s="2" t="s">
        <v>557</v>
      </c>
      <c r="B285" s="2" t="s">
        <v>558</v>
      </c>
      <c r="C285" s="2" t="s">
        <v>91</v>
      </c>
      <c r="D285" s="2" t="s">
        <v>92</v>
      </c>
      <c r="E285" s="2" t="s">
        <v>58</v>
      </c>
      <c r="F285" s="2" t="s">
        <v>59</v>
      </c>
      <c r="G285" s="2" t="s">
        <v>35</v>
      </c>
      <c r="H285" s="3">
        <v>5513</v>
      </c>
      <c r="I285" s="4">
        <v>20</v>
      </c>
      <c r="J285" s="5">
        <v>4.1100000000000003</v>
      </c>
      <c r="K285" s="4">
        <v>70</v>
      </c>
      <c r="L285" s="3">
        <f t="shared" si="12"/>
        <v>1653.9000000000003</v>
      </c>
      <c r="M285" s="3">
        <f t="shared" si="13"/>
        <v>23.609674943464658</v>
      </c>
      <c r="N285" s="3">
        <v>73.599999999999994</v>
      </c>
      <c r="O285" s="5">
        <f t="shared" si="14"/>
        <v>32.078362694924813</v>
      </c>
      <c r="P285" s="2" t="s">
        <v>36</v>
      </c>
    </row>
    <row r="286" spans="1:16" x14ac:dyDescent="0.2">
      <c r="A286" s="2" t="s">
        <v>559</v>
      </c>
      <c r="B286" s="2" t="s">
        <v>550</v>
      </c>
      <c r="C286" s="2" t="s">
        <v>67</v>
      </c>
      <c r="D286" s="2" t="s">
        <v>67</v>
      </c>
      <c r="E286" s="2" t="s">
        <v>107</v>
      </c>
      <c r="F286" s="2" t="s">
        <v>34</v>
      </c>
      <c r="G286" s="2" t="s">
        <v>22</v>
      </c>
      <c r="H286" s="3">
        <v>11383</v>
      </c>
      <c r="I286" s="4">
        <v>15</v>
      </c>
      <c r="J286" s="5">
        <v>5.47</v>
      </c>
      <c r="K286" s="4">
        <v>80</v>
      </c>
      <c r="L286" s="3">
        <f t="shared" si="12"/>
        <v>2276.5999999999995</v>
      </c>
      <c r="M286" s="3">
        <f t="shared" si="13"/>
        <v>74.261996960833471</v>
      </c>
      <c r="N286" s="3">
        <v>175.4</v>
      </c>
      <c r="O286" s="5">
        <f t="shared" si="14"/>
        <v>42.338652771284764</v>
      </c>
      <c r="P286" s="2" t="s">
        <v>36</v>
      </c>
    </row>
    <row r="287" spans="1:16" x14ac:dyDescent="0.2">
      <c r="A287" s="2" t="s">
        <v>560</v>
      </c>
      <c r="B287" s="2" t="s">
        <v>506</v>
      </c>
      <c r="C287" s="2" t="s">
        <v>62</v>
      </c>
      <c r="D287" s="2" t="s">
        <v>63</v>
      </c>
      <c r="E287" s="2" t="s">
        <v>58</v>
      </c>
      <c r="F287" s="2" t="s">
        <v>50</v>
      </c>
      <c r="G287" s="2" t="s">
        <v>35</v>
      </c>
      <c r="H287" s="3">
        <v>3990</v>
      </c>
      <c r="I287" s="4">
        <v>25</v>
      </c>
      <c r="J287" s="5">
        <v>5.79</v>
      </c>
      <c r="K287" s="4">
        <v>70</v>
      </c>
      <c r="L287" s="3">
        <f t="shared" si="12"/>
        <v>1197.0000000000002</v>
      </c>
      <c r="M287" s="3">
        <f t="shared" si="13"/>
        <v>17.638516967328751</v>
      </c>
      <c r="N287" s="3">
        <v>53.5</v>
      </c>
      <c r="O287" s="5">
        <f t="shared" si="14"/>
        <v>32.969190593137853</v>
      </c>
      <c r="P287" s="2" t="s">
        <v>36</v>
      </c>
    </row>
    <row r="288" spans="1:16" x14ac:dyDescent="0.2">
      <c r="A288" s="2" t="s">
        <v>561</v>
      </c>
      <c r="B288" s="2" t="s">
        <v>562</v>
      </c>
      <c r="C288" s="2" t="s">
        <v>47</v>
      </c>
      <c r="D288" s="2" t="s">
        <v>48</v>
      </c>
      <c r="E288" s="2" t="s">
        <v>41</v>
      </c>
      <c r="F288" s="2" t="s">
        <v>28</v>
      </c>
      <c r="G288" s="2" t="s">
        <v>35</v>
      </c>
      <c r="H288" s="3">
        <v>3528</v>
      </c>
      <c r="I288" s="4">
        <v>30</v>
      </c>
      <c r="J288" s="5">
        <v>4.3099999999999996</v>
      </c>
      <c r="K288" s="4">
        <v>70</v>
      </c>
      <c r="L288" s="3">
        <f t="shared" si="12"/>
        <v>1058.4000000000001</v>
      </c>
      <c r="M288" s="3">
        <f t="shared" si="13"/>
        <v>12.235850748915075</v>
      </c>
      <c r="N288" s="3">
        <v>51.4</v>
      </c>
      <c r="O288" s="5">
        <f t="shared" si="14"/>
        <v>23.805157099056569</v>
      </c>
      <c r="P288" s="2" t="s">
        <v>36</v>
      </c>
    </row>
    <row r="289" spans="1:16" x14ac:dyDescent="0.2">
      <c r="A289" s="2" t="s">
        <v>563</v>
      </c>
      <c r="B289" s="2" t="s">
        <v>564</v>
      </c>
      <c r="C289" s="2" t="s">
        <v>153</v>
      </c>
      <c r="D289" s="2" t="s">
        <v>19</v>
      </c>
      <c r="E289" s="2" t="s">
        <v>88</v>
      </c>
      <c r="F289" s="2" t="s">
        <v>34</v>
      </c>
      <c r="G289" s="2" t="s">
        <v>22</v>
      </c>
      <c r="H289" s="3">
        <v>9268</v>
      </c>
      <c r="I289" s="4">
        <v>15</v>
      </c>
      <c r="J289" s="5">
        <v>4.21</v>
      </c>
      <c r="K289" s="4">
        <v>80</v>
      </c>
      <c r="L289" s="3">
        <f t="shared" si="12"/>
        <v>1853.5999999999997</v>
      </c>
      <c r="M289" s="3">
        <f t="shared" si="13"/>
        <v>55.626948095635434</v>
      </c>
      <c r="N289" s="3">
        <v>114.5</v>
      </c>
      <c r="O289" s="5">
        <f t="shared" si="14"/>
        <v>48.582487419768938</v>
      </c>
      <c r="P289" s="2" t="s">
        <v>69</v>
      </c>
    </row>
    <row r="290" spans="1:16" x14ac:dyDescent="0.2">
      <c r="A290" s="2" t="s">
        <v>565</v>
      </c>
      <c r="B290" s="2" t="s">
        <v>566</v>
      </c>
      <c r="C290" s="2" t="s">
        <v>175</v>
      </c>
      <c r="D290" s="2" t="s">
        <v>176</v>
      </c>
      <c r="E290" s="2" t="s">
        <v>49</v>
      </c>
      <c r="F290" s="2" t="s">
        <v>59</v>
      </c>
      <c r="G290" s="2" t="s">
        <v>98</v>
      </c>
      <c r="H290" s="3">
        <v>6240</v>
      </c>
      <c r="I290" s="4">
        <v>20</v>
      </c>
      <c r="J290" s="5">
        <v>4.45</v>
      </c>
      <c r="K290" s="4">
        <v>90</v>
      </c>
      <c r="L290" s="3">
        <f t="shared" si="12"/>
        <v>623.99999999999989</v>
      </c>
      <c r="M290" s="3">
        <f t="shared" si="13"/>
        <v>35.37819422191825</v>
      </c>
      <c r="N290" s="3">
        <v>102.3</v>
      </c>
      <c r="O290" s="5">
        <f t="shared" si="14"/>
        <v>34.58279005075098</v>
      </c>
      <c r="P290" s="2" t="s">
        <v>29</v>
      </c>
    </row>
    <row r="291" spans="1:16" x14ac:dyDescent="0.2">
      <c r="A291" s="2" t="s">
        <v>567</v>
      </c>
      <c r="B291" s="2" t="s">
        <v>568</v>
      </c>
      <c r="C291" s="2" t="s">
        <v>91</v>
      </c>
      <c r="D291" s="2" t="s">
        <v>92</v>
      </c>
      <c r="E291" s="2" t="s">
        <v>49</v>
      </c>
      <c r="F291" s="2" t="s">
        <v>50</v>
      </c>
      <c r="G291" s="2" t="s">
        <v>22</v>
      </c>
      <c r="H291" s="3">
        <v>7665</v>
      </c>
      <c r="I291" s="4">
        <v>25</v>
      </c>
      <c r="J291" s="5">
        <v>5.4</v>
      </c>
      <c r="K291" s="4">
        <v>85</v>
      </c>
      <c r="L291" s="3">
        <f t="shared" si="12"/>
        <v>1149.7500000000002</v>
      </c>
      <c r="M291" s="3">
        <f t="shared" si="13"/>
        <v>39.621184443938027</v>
      </c>
      <c r="N291" s="3">
        <v>89.8</v>
      </c>
      <c r="O291" s="5">
        <f t="shared" si="14"/>
        <v>44.121586240465511</v>
      </c>
      <c r="P291" s="2" t="s">
        <v>23</v>
      </c>
    </row>
    <row r="292" spans="1:16" x14ac:dyDescent="0.2">
      <c r="A292" s="2" t="s">
        <v>569</v>
      </c>
      <c r="B292" s="2" t="s">
        <v>365</v>
      </c>
      <c r="C292" s="2" t="s">
        <v>142</v>
      </c>
      <c r="D292" s="2" t="s">
        <v>143</v>
      </c>
      <c r="E292" s="2" t="s">
        <v>49</v>
      </c>
      <c r="F292" s="2" t="s">
        <v>34</v>
      </c>
      <c r="G292" s="2" t="s">
        <v>98</v>
      </c>
      <c r="H292" s="3">
        <v>8230</v>
      </c>
      <c r="I292" s="4">
        <v>15</v>
      </c>
      <c r="J292" s="5">
        <v>5.32</v>
      </c>
      <c r="K292" s="4">
        <v>70</v>
      </c>
      <c r="L292" s="3">
        <f t="shared" si="12"/>
        <v>2469.0000000000005</v>
      </c>
      <c r="M292" s="3">
        <f t="shared" si="13"/>
        <v>46.523709735980042</v>
      </c>
      <c r="N292" s="3">
        <v>128.80000000000001</v>
      </c>
      <c r="O292" s="5">
        <f t="shared" si="14"/>
        <v>36.120892652158417</v>
      </c>
      <c r="P292" s="2" t="s">
        <v>69</v>
      </c>
    </row>
    <row r="293" spans="1:16" x14ac:dyDescent="0.2">
      <c r="A293" s="2" t="s">
        <v>570</v>
      </c>
      <c r="B293" s="2" t="s">
        <v>396</v>
      </c>
      <c r="C293" s="2" t="s">
        <v>62</v>
      </c>
      <c r="D293" s="2" t="s">
        <v>63</v>
      </c>
      <c r="E293" s="2" t="s">
        <v>107</v>
      </c>
      <c r="F293" s="2" t="s">
        <v>59</v>
      </c>
      <c r="G293" s="2" t="s">
        <v>35</v>
      </c>
      <c r="H293" s="3">
        <v>10597</v>
      </c>
      <c r="I293" s="4">
        <v>20</v>
      </c>
      <c r="J293" s="5">
        <v>4.8</v>
      </c>
      <c r="K293" s="4">
        <v>80</v>
      </c>
      <c r="L293" s="3">
        <f t="shared" si="12"/>
        <v>2119.3999999999996</v>
      </c>
      <c r="M293" s="3">
        <f t="shared" si="13"/>
        <v>55.016018463620178</v>
      </c>
      <c r="N293" s="3">
        <v>139.80000000000001</v>
      </c>
      <c r="O293" s="5">
        <f t="shared" si="14"/>
        <v>39.353375152804134</v>
      </c>
      <c r="P293" s="2" t="s">
        <v>36</v>
      </c>
    </row>
    <row r="294" spans="1:16" x14ac:dyDescent="0.2">
      <c r="A294" s="2" t="s">
        <v>571</v>
      </c>
      <c r="B294" s="2" t="s">
        <v>550</v>
      </c>
      <c r="C294" s="2" t="s">
        <v>53</v>
      </c>
      <c r="D294" s="2" t="s">
        <v>19</v>
      </c>
      <c r="E294" s="2" t="s">
        <v>49</v>
      </c>
      <c r="F294" s="2" t="s">
        <v>34</v>
      </c>
      <c r="G294" s="2" t="s">
        <v>44</v>
      </c>
      <c r="H294" s="3">
        <v>2193</v>
      </c>
      <c r="I294" s="4">
        <v>30</v>
      </c>
      <c r="J294" s="5">
        <v>4.29</v>
      </c>
      <c r="K294" s="4">
        <v>90</v>
      </c>
      <c r="L294" s="3">
        <f t="shared" si="12"/>
        <v>219.29999999999995</v>
      </c>
      <c r="M294" s="3">
        <f t="shared" si="13"/>
        <v>9.7556917280082516</v>
      </c>
      <c r="N294" s="3">
        <v>33.700000000000003</v>
      </c>
      <c r="O294" s="5">
        <f t="shared" si="14"/>
        <v>28.948640142457716</v>
      </c>
      <c r="P294" s="2" t="s">
        <v>36</v>
      </c>
    </row>
    <row r="295" spans="1:16" x14ac:dyDescent="0.2">
      <c r="A295" s="2" t="s">
        <v>572</v>
      </c>
      <c r="B295" s="2" t="s">
        <v>517</v>
      </c>
      <c r="C295" s="2" t="s">
        <v>100</v>
      </c>
      <c r="D295" s="2" t="s">
        <v>32</v>
      </c>
      <c r="E295" s="2" t="s">
        <v>20</v>
      </c>
      <c r="F295" s="2" t="s">
        <v>50</v>
      </c>
      <c r="G295" s="2" t="s">
        <v>44</v>
      </c>
      <c r="H295" s="3">
        <v>15649</v>
      </c>
      <c r="I295" s="4">
        <v>15</v>
      </c>
      <c r="J295" s="5">
        <v>4.3499999999999996</v>
      </c>
      <c r="K295" s="4">
        <v>80</v>
      </c>
      <c r="L295" s="3">
        <f t="shared" si="12"/>
        <v>3129.7999999999993</v>
      </c>
      <c r="M295" s="3">
        <f t="shared" si="13"/>
        <v>94.814094891146127</v>
      </c>
      <c r="N295" s="3">
        <v>204.6</v>
      </c>
      <c r="O295" s="5">
        <f t="shared" si="14"/>
        <v>46.341199849045026</v>
      </c>
      <c r="P295" s="2" t="s">
        <v>36</v>
      </c>
    </row>
    <row r="296" spans="1:16" x14ac:dyDescent="0.2">
      <c r="A296" s="2" t="s">
        <v>573</v>
      </c>
      <c r="B296" s="2" t="s">
        <v>574</v>
      </c>
      <c r="C296" s="2" t="s">
        <v>146</v>
      </c>
      <c r="D296" s="2" t="s">
        <v>19</v>
      </c>
      <c r="E296" s="2" t="s">
        <v>68</v>
      </c>
      <c r="F296" s="2" t="s">
        <v>34</v>
      </c>
      <c r="G296" s="2" t="s">
        <v>22</v>
      </c>
      <c r="H296" s="3">
        <v>10523</v>
      </c>
      <c r="I296" s="4">
        <v>20</v>
      </c>
      <c r="J296" s="5">
        <v>4.83</v>
      </c>
      <c r="K296" s="4">
        <v>80</v>
      </c>
      <c r="L296" s="3">
        <f t="shared" si="12"/>
        <v>2104.5999999999995</v>
      </c>
      <c r="M296" s="3">
        <f t="shared" si="13"/>
        <v>54.77017783395393</v>
      </c>
      <c r="N296" s="3">
        <v>153.6</v>
      </c>
      <c r="O296" s="5">
        <f t="shared" si="14"/>
        <v>35.657667860647088</v>
      </c>
      <c r="P296" s="2" t="s">
        <v>36</v>
      </c>
    </row>
    <row r="297" spans="1:16" x14ac:dyDescent="0.2">
      <c r="A297" s="2" t="s">
        <v>575</v>
      </c>
      <c r="B297" s="2" t="s">
        <v>576</v>
      </c>
      <c r="C297" s="2" t="s">
        <v>119</v>
      </c>
      <c r="D297" s="2" t="s">
        <v>120</v>
      </c>
      <c r="E297" s="2" t="s">
        <v>68</v>
      </c>
      <c r="F297" s="2" t="s">
        <v>21</v>
      </c>
      <c r="G297" s="2" t="s">
        <v>35</v>
      </c>
      <c r="H297" s="3">
        <v>11130</v>
      </c>
      <c r="I297" s="4">
        <v>25</v>
      </c>
      <c r="J297" s="5">
        <v>5.76</v>
      </c>
      <c r="K297" s="4">
        <v>75</v>
      </c>
      <c r="L297" s="3">
        <f t="shared" si="12"/>
        <v>2782.5</v>
      </c>
      <c r="M297" s="3">
        <f t="shared" si="13"/>
        <v>52.56511253393861</v>
      </c>
      <c r="N297" s="3">
        <v>121</v>
      </c>
      <c r="O297" s="5">
        <f t="shared" si="14"/>
        <v>43.442241763585628</v>
      </c>
      <c r="P297" s="2" t="s">
        <v>36</v>
      </c>
    </row>
    <row r="298" spans="1:16" x14ac:dyDescent="0.2">
      <c r="A298" s="2" t="s">
        <v>577</v>
      </c>
      <c r="B298" s="2" t="s">
        <v>578</v>
      </c>
      <c r="C298" s="2" t="s">
        <v>142</v>
      </c>
      <c r="D298" s="2" t="s">
        <v>143</v>
      </c>
      <c r="E298" s="2" t="s">
        <v>74</v>
      </c>
      <c r="F298" s="2" t="s">
        <v>50</v>
      </c>
      <c r="G298" s="2" t="s">
        <v>22</v>
      </c>
      <c r="H298" s="3">
        <v>2365</v>
      </c>
      <c r="I298" s="4">
        <v>20</v>
      </c>
      <c r="J298" s="5">
        <v>4.09</v>
      </c>
      <c r="K298" s="4">
        <v>70</v>
      </c>
      <c r="L298" s="3">
        <f t="shared" si="12"/>
        <v>709.50000000000011</v>
      </c>
      <c r="M298" s="3">
        <f t="shared" si="13"/>
        <v>10.110688330117116</v>
      </c>
      <c r="N298" s="3">
        <v>32.5</v>
      </c>
      <c r="O298" s="5">
        <f t="shared" si="14"/>
        <v>31.109810246514201</v>
      </c>
      <c r="P298" s="2" t="s">
        <v>36</v>
      </c>
    </row>
    <row r="299" spans="1:16" x14ac:dyDescent="0.2">
      <c r="A299" s="2" t="s">
        <v>579</v>
      </c>
      <c r="B299" s="2" t="s">
        <v>580</v>
      </c>
      <c r="C299" s="2" t="s">
        <v>91</v>
      </c>
      <c r="D299" s="2" t="s">
        <v>92</v>
      </c>
      <c r="E299" s="2" t="s">
        <v>78</v>
      </c>
      <c r="F299" s="2" t="s">
        <v>34</v>
      </c>
      <c r="G299" s="2" t="s">
        <v>98</v>
      </c>
      <c r="H299" s="3">
        <v>2871</v>
      </c>
      <c r="I299" s="4">
        <v>25</v>
      </c>
      <c r="J299" s="5">
        <v>5.79</v>
      </c>
      <c r="K299" s="4">
        <v>70</v>
      </c>
      <c r="L299" s="3">
        <f t="shared" si="12"/>
        <v>861.30000000000018</v>
      </c>
      <c r="M299" s="3">
        <f t="shared" si="13"/>
        <v>12.691774990777155</v>
      </c>
      <c r="N299" s="3">
        <v>43.6</v>
      </c>
      <c r="O299" s="5">
        <f t="shared" si="14"/>
        <v>29.10957566692008</v>
      </c>
      <c r="P299" s="2" t="s">
        <v>69</v>
      </c>
    </row>
    <row r="300" spans="1:16" x14ac:dyDescent="0.2">
      <c r="A300" s="2" t="s">
        <v>581</v>
      </c>
      <c r="B300" s="2" t="s">
        <v>61</v>
      </c>
      <c r="C300" s="2" t="s">
        <v>18</v>
      </c>
      <c r="D300" s="2" t="s">
        <v>19</v>
      </c>
      <c r="E300" s="2" t="s">
        <v>49</v>
      </c>
      <c r="F300" s="2" t="s">
        <v>50</v>
      </c>
      <c r="G300" s="2" t="s">
        <v>35</v>
      </c>
      <c r="H300" s="3">
        <v>13158</v>
      </c>
      <c r="I300" s="4">
        <v>25</v>
      </c>
      <c r="J300" s="5">
        <v>4.54</v>
      </c>
      <c r="K300" s="4">
        <v>80</v>
      </c>
      <c r="L300" s="3">
        <f t="shared" si="12"/>
        <v>2631.5999999999995</v>
      </c>
      <c r="M300" s="3">
        <f t="shared" si="13"/>
        <v>58.748399091356447</v>
      </c>
      <c r="N300" s="3">
        <v>153.19999999999999</v>
      </c>
      <c r="O300" s="5">
        <f t="shared" si="14"/>
        <v>38.347518989136063</v>
      </c>
      <c r="P300" s="2" t="s">
        <v>36</v>
      </c>
    </row>
    <row r="301" spans="1:16" x14ac:dyDescent="0.2">
      <c r="A301" s="2" t="s">
        <v>582</v>
      </c>
      <c r="B301" s="2" t="s">
        <v>583</v>
      </c>
      <c r="C301" s="2" t="s">
        <v>146</v>
      </c>
      <c r="D301" s="2" t="s">
        <v>19</v>
      </c>
      <c r="E301" s="2" t="s">
        <v>177</v>
      </c>
      <c r="F301" s="2" t="s">
        <v>34</v>
      </c>
      <c r="G301" s="2" t="s">
        <v>35</v>
      </c>
      <c r="H301" s="3">
        <v>15633</v>
      </c>
      <c r="I301" s="4">
        <v>25</v>
      </c>
      <c r="J301" s="5">
        <v>4.6900000000000004</v>
      </c>
      <c r="K301" s="4">
        <v>85</v>
      </c>
      <c r="L301" s="3">
        <f t="shared" si="12"/>
        <v>2344.9500000000003</v>
      </c>
      <c r="M301" s="3">
        <f t="shared" si="13"/>
        <v>75.299626612907133</v>
      </c>
      <c r="N301" s="3">
        <v>257.3</v>
      </c>
      <c r="O301" s="5">
        <f t="shared" si="14"/>
        <v>29.265303774934758</v>
      </c>
      <c r="P301" s="2" t="s">
        <v>69</v>
      </c>
    </row>
    <row r="302" spans="1:16" x14ac:dyDescent="0.2">
      <c r="A302" s="2" t="s">
        <v>584</v>
      </c>
      <c r="B302" s="2" t="s">
        <v>585</v>
      </c>
      <c r="C302" s="2" t="s">
        <v>18</v>
      </c>
      <c r="D302" s="2" t="s">
        <v>19</v>
      </c>
      <c r="E302" s="2" t="s">
        <v>88</v>
      </c>
      <c r="F302" s="2" t="s">
        <v>50</v>
      </c>
      <c r="G302" s="2" t="s">
        <v>35</v>
      </c>
      <c r="H302" s="3">
        <v>10139</v>
      </c>
      <c r="I302" s="4">
        <v>25</v>
      </c>
      <c r="J302" s="5">
        <v>5.28</v>
      </c>
      <c r="K302" s="4">
        <v>80</v>
      </c>
      <c r="L302" s="3">
        <f t="shared" si="12"/>
        <v>2027.7999999999995</v>
      </c>
      <c r="M302" s="3">
        <f t="shared" si="13"/>
        <v>48.749847547262966</v>
      </c>
      <c r="N302" s="3">
        <v>120.5</v>
      </c>
      <c r="O302" s="5">
        <f t="shared" si="14"/>
        <v>40.45630501847549</v>
      </c>
      <c r="P302" s="2" t="s">
        <v>36</v>
      </c>
    </row>
    <row r="303" spans="1:16" x14ac:dyDescent="0.2">
      <c r="A303" s="2" t="s">
        <v>586</v>
      </c>
      <c r="B303" s="2" t="s">
        <v>405</v>
      </c>
      <c r="C303" s="2" t="s">
        <v>91</v>
      </c>
      <c r="D303" s="2" t="s">
        <v>92</v>
      </c>
      <c r="E303" s="2" t="s">
        <v>41</v>
      </c>
      <c r="F303" s="2" t="s">
        <v>34</v>
      </c>
      <c r="G303" s="2" t="s">
        <v>98</v>
      </c>
      <c r="H303" s="3">
        <v>13521</v>
      </c>
      <c r="I303" s="4">
        <v>20</v>
      </c>
      <c r="J303" s="5">
        <v>4.97</v>
      </c>
      <c r="K303" s="4">
        <v>75</v>
      </c>
      <c r="L303" s="3">
        <f t="shared" si="12"/>
        <v>3380.25</v>
      </c>
      <c r="M303" s="3">
        <f t="shared" si="13"/>
        <v>66.756516828709152</v>
      </c>
      <c r="N303" s="3">
        <v>191.7</v>
      </c>
      <c r="O303" s="5">
        <f t="shared" si="14"/>
        <v>34.823430792232216</v>
      </c>
      <c r="P303" s="2" t="s">
        <v>36</v>
      </c>
    </row>
    <row r="304" spans="1:16" x14ac:dyDescent="0.2">
      <c r="A304" s="2" t="s">
        <v>587</v>
      </c>
      <c r="B304" s="2" t="s">
        <v>187</v>
      </c>
      <c r="C304" s="2" t="s">
        <v>142</v>
      </c>
      <c r="D304" s="2" t="s">
        <v>143</v>
      </c>
      <c r="E304" s="2" t="s">
        <v>156</v>
      </c>
      <c r="F304" s="2" t="s">
        <v>59</v>
      </c>
      <c r="G304" s="2" t="s">
        <v>22</v>
      </c>
      <c r="H304" s="3">
        <v>2336</v>
      </c>
      <c r="I304" s="4">
        <v>20</v>
      </c>
      <c r="J304" s="5">
        <v>4.12</v>
      </c>
      <c r="K304" s="4">
        <v>75</v>
      </c>
      <c r="L304" s="3">
        <f t="shared" si="12"/>
        <v>584</v>
      </c>
      <c r="M304" s="3">
        <f t="shared" si="13"/>
        <v>10.727884335589959</v>
      </c>
      <c r="N304" s="3">
        <v>28.9</v>
      </c>
      <c r="O304" s="5">
        <f t="shared" si="14"/>
        <v>37.120707043563868</v>
      </c>
      <c r="P304" s="2" t="s">
        <v>69</v>
      </c>
    </row>
    <row r="305" spans="1:16" x14ac:dyDescent="0.2">
      <c r="A305" s="2" t="s">
        <v>588</v>
      </c>
      <c r="B305" s="2" t="s">
        <v>589</v>
      </c>
      <c r="C305" s="2" t="s">
        <v>39</v>
      </c>
      <c r="D305" s="2" t="s">
        <v>40</v>
      </c>
      <c r="E305" s="2" t="s">
        <v>33</v>
      </c>
      <c r="F305" s="2" t="s">
        <v>50</v>
      </c>
      <c r="G305" s="2" t="s">
        <v>44</v>
      </c>
      <c r="H305" s="3">
        <v>15393</v>
      </c>
      <c r="I305" s="4">
        <v>25</v>
      </c>
      <c r="J305" s="5">
        <v>4.13</v>
      </c>
      <c r="K305" s="4">
        <v>80</v>
      </c>
      <c r="L305" s="3">
        <f t="shared" si="12"/>
        <v>3078.5999999999995</v>
      </c>
      <c r="M305" s="3">
        <f t="shared" si="13"/>
        <v>65.887118241267956</v>
      </c>
      <c r="N305" s="3">
        <v>199.8</v>
      </c>
      <c r="O305" s="5">
        <f t="shared" si="14"/>
        <v>32.976535656290267</v>
      </c>
      <c r="P305" s="2" t="s">
        <v>36</v>
      </c>
    </row>
    <row r="306" spans="1:16" x14ac:dyDescent="0.2">
      <c r="A306" s="2" t="s">
        <v>590</v>
      </c>
      <c r="B306" s="2" t="s">
        <v>585</v>
      </c>
      <c r="C306" s="2" t="s">
        <v>77</v>
      </c>
      <c r="D306" s="2" t="s">
        <v>19</v>
      </c>
      <c r="E306" s="2" t="s">
        <v>88</v>
      </c>
      <c r="F306" s="2" t="s">
        <v>34</v>
      </c>
      <c r="G306" s="2" t="s">
        <v>22</v>
      </c>
      <c r="H306" s="3">
        <v>11675</v>
      </c>
      <c r="I306" s="4">
        <v>15</v>
      </c>
      <c r="J306" s="5">
        <v>5.37</v>
      </c>
      <c r="K306" s="4">
        <v>70</v>
      </c>
      <c r="L306" s="3">
        <f t="shared" si="12"/>
        <v>3502.5000000000005</v>
      </c>
      <c r="M306" s="3">
        <f t="shared" si="13"/>
        <v>66.213704041161137</v>
      </c>
      <c r="N306" s="3">
        <v>208.4</v>
      </c>
      <c r="O306" s="5">
        <f t="shared" si="14"/>
        <v>31.772410768311488</v>
      </c>
      <c r="P306" s="2" t="s">
        <v>36</v>
      </c>
    </row>
    <row r="307" spans="1:16" x14ac:dyDescent="0.2">
      <c r="A307" s="2" t="s">
        <v>591</v>
      </c>
      <c r="B307" s="2" t="s">
        <v>592</v>
      </c>
      <c r="C307" s="2" t="s">
        <v>131</v>
      </c>
      <c r="D307" s="2" t="s">
        <v>27</v>
      </c>
      <c r="E307" s="2" t="s">
        <v>74</v>
      </c>
      <c r="F307" s="2" t="s">
        <v>28</v>
      </c>
      <c r="G307" s="2" t="s">
        <v>44</v>
      </c>
      <c r="H307" s="3">
        <v>6877</v>
      </c>
      <c r="I307" s="4">
        <v>15</v>
      </c>
      <c r="J307" s="5">
        <v>4.4000000000000004</v>
      </c>
      <c r="K307" s="4">
        <v>75</v>
      </c>
      <c r="L307" s="3">
        <f t="shared" si="12"/>
        <v>1719.25</v>
      </c>
      <c r="M307" s="3">
        <f t="shared" si="13"/>
        <v>39.193352892081812</v>
      </c>
      <c r="N307" s="3">
        <v>87</v>
      </c>
      <c r="O307" s="5">
        <f t="shared" si="14"/>
        <v>45.049830910438864</v>
      </c>
      <c r="P307" s="2" t="s">
        <v>36</v>
      </c>
    </row>
    <row r="308" spans="1:16" x14ac:dyDescent="0.2">
      <c r="A308" s="2" t="s">
        <v>593</v>
      </c>
      <c r="B308" s="2" t="s">
        <v>594</v>
      </c>
      <c r="C308" s="2" t="s">
        <v>39</v>
      </c>
      <c r="D308" s="2" t="s">
        <v>40</v>
      </c>
      <c r="E308" s="2" t="s">
        <v>41</v>
      </c>
      <c r="F308" s="2" t="s">
        <v>21</v>
      </c>
      <c r="G308" s="2" t="s">
        <v>22</v>
      </c>
      <c r="H308" s="3">
        <v>6612</v>
      </c>
      <c r="I308" s="4">
        <v>20</v>
      </c>
      <c r="J308" s="5">
        <v>4.83</v>
      </c>
      <c r="K308" s="4">
        <v>80</v>
      </c>
      <c r="L308" s="3">
        <f t="shared" si="12"/>
        <v>1322.3999999999996</v>
      </c>
      <c r="M308" s="3">
        <f t="shared" si="13"/>
        <v>34.414179971310787</v>
      </c>
      <c r="N308" s="3">
        <v>99</v>
      </c>
      <c r="O308" s="5">
        <f t="shared" si="14"/>
        <v>34.76179795081898</v>
      </c>
      <c r="P308" s="2" t="s">
        <v>36</v>
      </c>
    </row>
    <row r="309" spans="1:16" x14ac:dyDescent="0.2">
      <c r="A309" s="2" t="s">
        <v>595</v>
      </c>
      <c r="B309" s="2" t="s">
        <v>409</v>
      </c>
      <c r="C309" s="2" t="s">
        <v>72</v>
      </c>
      <c r="D309" s="2" t="s">
        <v>73</v>
      </c>
      <c r="E309" s="2" t="s">
        <v>78</v>
      </c>
      <c r="F309" s="2" t="s">
        <v>59</v>
      </c>
      <c r="G309" s="2" t="s">
        <v>35</v>
      </c>
      <c r="H309" s="3">
        <v>8060</v>
      </c>
      <c r="I309" s="4">
        <v>30</v>
      </c>
      <c r="J309" s="5">
        <v>5.36</v>
      </c>
      <c r="K309" s="4">
        <v>90</v>
      </c>
      <c r="L309" s="3">
        <f t="shared" si="12"/>
        <v>805.99999999999977</v>
      </c>
      <c r="M309" s="3">
        <f t="shared" si="13"/>
        <v>40.552505601980315</v>
      </c>
      <c r="N309" s="3">
        <v>125.8</v>
      </c>
      <c r="O309" s="5">
        <f t="shared" si="14"/>
        <v>32.235696027011379</v>
      </c>
      <c r="P309" s="2" t="s">
        <v>29</v>
      </c>
    </row>
    <row r="310" spans="1:16" x14ac:dyDescent="0.2">
      <c r="A310" s="2" t="s">
        <v>596</v>
      </c>
      <c r="B310" s="2" t="s">
        <v>348</v>
      </c>
      <c r="C310" s="2" t="s">
        <v>26</v>
      </c>
      <c r="D310" s="2" t="s">
        <v>27</v>
      </c>
      <c r="E310" s="2" t="s">
        <v>68</v>
      </c>
      <c r="F310" s="2" t="s">
        <v>28</v>
      </c>
      <c r="G310" s="2" t="s">
        <v>35</v>
      </c>
      <c r="H310" s="3">
        <v>6807</v>
      </c>
      <c r="I310" s="4">
        <v>15</v>
      </c>
      <c r="J310" s="5">
        <v>4.1900000000000004</v>
      </c>
      <c r="K310" s="4">
        <v>80</v>
      </c>
      <c r="L310" s="3">
        <f t="shared" si="12"/>
        <v>1361.3999999999996</v>
      </c>
      <c r="M310" s="3">
        <f t="shared" si="13"/>
        <v>40.800903499859622</v>
      </c>
      <c r="N310" s="3">
        <v>101.6</v>
      </c>
      <c r="O310" s="5">
        <f t="shared" si="14"/>
        <v>40.158369586476006</v>
      </c>
      <c r="P310" s="2" t="s">
        <v>36</v>
      </c>
    </row>
    <row r="311" spans="1:16" x14ac:dyDescent="0.2">
      <c r="A311" s="2" t="s">
        <v>597</v>
      </c>
      <c r="B311" s="2" t="s">
        <v>392</v>
      </c>
      <c r="C311" s="2" t="s">
        <v>18</v>
      </c>
      <c r="D311" s="2" t="s">
        <v>19</v>
      </c>
      <c r="E311" s="2" t="s">
        <v>74</v>
      </c>
      <c r="F311" s="2" t="s">
        <v>34</v>
      </c>
      <c r="G311" s="2" t="s">
        <v>22</v>
      </c>
      <c r="H311" s="3">
        <v>7595</v>
      </c>
      <c r="I311" s="4">
        <v>20</v>
      </c>
      <c r="J311" s="5">
        <v>4.54</v>
      </c>
      <c r="K311" s="4">
        <v>80</v>
      </c>
      <c r="L311" s="3">
        <f t="shared" si="12"/>
        <v>1518.9999999999998</v>
      </c>
      <c r="M311" s="3">
        <f t="shared" si="13"/>
        <v>38.571091227592731</v>
      </c>
      <c r="N311" s="3">
        <v>124.1</v>
      </c>
      <c r="O311" s="5">
        <f t="shared" si="14"/>
        <v>31.080653688632339</v>
      </c>
      <c r="P311" s="2" t="s">
        <v>36</v>
      </c>
    </row>
    <row r="312" spans="1:16" x14ac:dyDescent="0.2">
      <c r="A312" s="2" t="s">
        <v>598</v>
      </c>
      <c r="B312" s="2" t="s">
        <v>230</v>
      </c>
      <c r="C312" s="2" t="s">
        <v>100</v>
      </c>
      <c r="D312" s="2" t="s">
        <v>32</v>
      </c>
      <c r="E312" s="2" t="s">
        <v>97</v>
      </c>
      <c r="F312" s="2" t="s">
        <v>34</v>
      </c>
      <c r="G312" s="2" t="s">
        <v>44</v>
      </c>
      <c r="H312" s="3">
        <v>10299</v>
      </c>
      <c r="I312" s="4">
        <v>25</v>
      </c>
      <c r="J312" s="5">
        <v>5.0999999999999996</v>
      </c>
      <c r="K312" s="4">
        <v>70</v>
      </c>
      <c r="L312" s="3">
        <f t="shared" si="12"/>
        <v>3089.7000000000003</v>
      </c>
      <c r="M312" s="3">
        <f t="shared" si="13"/>
        <v>42.565947253336439</v>
      </c>
      <c r="N312" s="3">
        <v>121.4</v>
      </c>
      <c r="O312" s="5">
        <f t="shared" si="14"/>
        <v>35.062559516751598</v>
      </c>
      <c r="P312" s="2" t="s">
        <v>29</v>
      </c>
    </row>
    <row r="313" spans="1:16" x14ac:dyDescent="0.2">
      <c r="A313" s="2" t="s">
        <v>599</v>
      </c>
      <c r="B313" s="2" t="s">
        <v>600</v>
      </c>
      <c r="C313" s="2" t="s">
        <v>18</v>
      </c>
      <c r="D313" s="2" t="s">
        <v>19</v>
      </c>
      <c r="E313" s="2" t="s">
        <v>78</v>
      </c>
      <c r="F313" s="2" t="s">
        <v>34</v>
      </c>
      <c r="G313" s="2" t="s">
        <v>44</v>
      </c>
      <c r="H313" s="3">
        <v>17488</v>
      </c>
      <c r="I313" s="4">
        <v>25</v>
      </c>
      <c r="J313" s="5">
        <v>5.08</v>
      </c>
      <c r="K313" s="4">
        <v>85</v>
      </c>
      <c r="L313" s="3">
        <f t="shared" si="12"/>
        <v>2623.2000000000003</v>
      </c>
      <c r="M313" s="3">
        <f t="shared" si="13"/>
        <v>87.59239576300358</v>
      </c>
      <c r="N313" s="3">
        <v>212.7</v>
      </c>
      <c r="O313" s="5">
        <f t="shared" si="14"/>
        <v>41.181192178186919</v>
      </c>
      <c r="P313" s="2" t="s">
        <v>69</v>
      </c>
    </row>
    <row r="314" spans="1:16" x14ac:dyDescent="0.2">
      <c r="A314" s="2" t="s">
        <v>601</v>
      </c>
      <c r="B314" s="2" t="s">
        <v>602</v>
      </c>
      <c r="C314" s="2" t="s">
        <v>131</v>
      </c>
      <c r="D314" s="2" t="s">
        <v>27</v>
      </c>
      <c r="E314" s="2" t="s">
        <v>78</v>
      </c>
      <c r="F314" s="2" t="s">
        <v>59</v>
      </c>
      <c r="G314" s="2" t="s">
        <v>44</v>
      </c>
      <c r="H314" s="3">
        <v>3356</v>
      </c>
      <c r="I314" s="4">
        <v>30</v>
      </c>
      <c r="J314" s="5">
        <v>5.26</v>
      </c>
      <c r="K314" s="4">
        <v>80</v>
      </c>
      <c r="L314" s="3">
        <f t="shared" si="12"/>
        <v>671.19999999999982</v>
      </c>
      <c r="M314" s="3">
        <f t="shared" si="13"/>
        <v>14.842198429372354</v>
      </c>
      <c r="N314" s="3">
        <v>35.5</v>
      </c>
      <c r="O314" s="5">
        <f t="shared" si="14"/>
        <v>41.809009660203813</v>
      </c>
      <c r="P314" s="2" t="s">
        <v>36</v>
      </c>
    </row>
    <row r="315" spans="1:16" x14ac:dyDescent="0.2">
      <c r="A315" s="2" t="s">
        <v>603</v>
      </c>
      <c r="B315" s="2" t="s">
        <v>604</v>
      </c>
      <c r="C315" s="2" t="s">
        <v>84</v>
      </c>
      <c r="D315" s="2" t="s">
        <v>85</v>
      </c>
      <c r="E315" s="2" t="s">
        <v>78</v>
      </c>
      <c r="F315" s="2" t="s">
        <v>34</v>
      </c>
      <c r="G315" s="2" t="s">
        <v>44</v>
      </c>
      <c r="H315" s="3">
        <v>11139</v>
      </c>
      <c r="I315" s="4">
        <v>30</v>
      </c>
      <c r="J315" s="5">
        <v>3.95</v>
      </c>
      <c r="K315" s="4">
        <v>70</v>
      </c>
      <c r="L315" s="3">
        <f t="shared" si="12"/>
        <v>3341.7000000000003</v>
      </c>
      <c r="M315" s="3">
        <f t="shared" si="13"/>
        <v>37.00109189390917</v>
      </c>
      <c r="N315" s="3">
        <v>119.6</v>
      </c>
      <c r="O315" s="5">
        <f t="shared" si="14"/>
        <v>30.937367804271883</v>
      </c>
      <c r="P315" s="2" t="s">
        <v>36</v>
      </c>
    </row>
    <row r="316" spans="1:16" x14ac:dyDescent="0.2">
      <c r="A316" s="2" t="s">
        <v>605</v>
      </c>
      <c r="B316" s="2" t="s">
        <v>76</v>
      </c>
      <c r="C316" s="2" t="s">
        <v>175</v>
      </c>
      <c r="D316" s="2" t="s">
        <v>176</v>
      </c>
      <c r="E316" s="2" t="s">
        <v>41</v>
      </c>
      <c r="F316" s="2" t="s">
        <v>34</v>
      </c>
      <c r="G316" s="2" t="s">
        <v>22</v>
      </c>
      <c r="H316" s="3">
        <v>2171</v>
      </c>
      <c r="I316" s="4">
        <v>30</v>
      </c>
      <c r="J316" s="5">
        <v>4.58</v>
      </c>
      <c r="K316" s="4">
        <v>80</v>
      </c>
      <c r="L316" s="3">
        <f t="shared" si="12"/>
        <v>434.19999999999993</v>
      </c>
      <c r="M316" s="3">
        <f t="shared" si="13"/>
        <v>8.8828600747878905</v>
      </c>
      <c r="N316" s="3">
        <v>31.9</v>
      </c>
      <c r="O316" s="5">
        <f t="shared" si="14"/>
        <v>27.845956347297463</v>
      </c>
      <c r="P316" s="2" t="s">
        <v>29</v>
      </c>
    </row>
    <row r="317" spans="1:16" x14ac:dyDescent="0.2">
      <c r="A317" s="2" t="s">
        <v>606</v>
      </c>
      <c r="B317" s="2" t="s">
        <v>109</v>
      </c>
      <c r="C317" s="2" t="s">
        <v>56</v>
      </c>
      <c r="D317" s="2" t="s">
        <v>57</v>
      </c>
      <c r="E317" s="2" t="s">
        <v>107</v>
      </c>
      <c r="F317" s="2" t="s">
        <v>59</v>
      </c>
      <c r="G317" s="2" t="s">
        <v>22</v>
      </c>
      <c r="H317" s="3">
        <v>10809</v>
      </c>
      <c r="I317" s="4">
        <v>25</v>
      </c>
      <c r="J317" s="5">
        <v>4.28</v>
      </c>
      <c r="K317" s="4">
        <v>80</v>
      </c>
      <c r="L317" s="3">
        <f t="shared" si="12"/>
        <v>2161.7999999999997</v>
      </c>
      <c r="M317" s="3">
        <f t="shared" si="13"/>
        <v>46.990551994357759</v>
      </c>
      <c r="N317" s="3">
        <v>142.4</v>
      </c>
      <c r="O317" s="5">
        <f t="shared" si="14"/>
        <v>32.998983142105168</v>
      </c>
      <c r="P317" s="2" t="s">
        <v>36</v>
      </c>
    </row>
    <row r="318" spans="1:16" x14ac:dyDescent="0.2">
      <c r="A318" s="2" t="s">
        <v>607</v>
      </c>
      <c r="B318" s="2" t="s">
        <v>608</v>
      </c>
      <c r="C318" s="2" t="s">
        <v>91</v>
      </c>
      <c r="D318" s="2" t="s">
        <v>92</v>
      </c>
      <c r="E318" s="2" t="s">
        <v>41</v>
      </c>
      <c r="F318" s="2" t="s">
        <v>50</v>
      </c>
      <c r="G318" s="2" t="s">
        <v>22</v>
      </c>
      <c r="H318" s="3">
        <v>15292</v>
      </c>
      <c r="I318" s="4">
        <v>25</v>
      </c>
      <c r="J318" s="5">
        <v>4.67</v>
      </c>
      <c r="K318" s="4">
        <v>75</v>
      </c>
      <c r="L318" s="3">
        <f t="shared" si="12"/>
        <v>3823</v>
      </c>
      <c r="M318" s="3">
        <f t="shared" si="13"/>
        <v>64.860135048996412</v>
      </c>
      <c r="N318" s="3">
        <v>232.4</v>
      </c>
      <c r="O318" s="5">
        <f t="shared" si="14"/>
        <v>27.908836079602583</v>
      </c>
      <c r="P318" s="2" t="s">
        <v>69</v>
      </c>
    </row>
    <row r="319" spans="1:16" x14ac:dyDescent="0.2">
      <c r="A319" s="2" t="s">
        <v>609</v>
      </c>
      <c r="B319" s="2" t="s">
        <v>610</v>
      </c>
      <c r="C319" s="2" t="s">
        <v>77</v>
      </c>
      <c r="D319" s="2" t="s">
        <v>19</v>
      </c>
      <c r="E319" s="2" t="s">
        <v>68</v>
      </c>
      <c r="F319" s="2" t="s">
        <v>28</v>
      </c>
      <c r="G319" s="2" t="s">
        <v>35</v>
      </c>
      <c r="H319" s="3">
        <v>16403</v>
      </c>
      <c r="I319" s="4">
        <v>25</v>
      </c>
      <c r="J319" s="5">
        <v>4.68</v>
      </c>
      <c r="K319" s="4">
        <v>70</v>
      </c>
      <c r="L319" s="3">
        <f t="shared" si="12"/>
        <v>4920.9000000000005</v>
      </c>
      <c r="M319" s="3">
        <f t="shared" si="13"/>
        <v>65.000001126481877</v>
      </c>
      <c r="N319" s="3">
        <v>174</v>
      </c>
      <c r="O319" s="5">
        <f t="shared" si="14"/>
        <v>37.35632248648384</v>
      </c>
      <c r="P319" s="2" t="s">
        <v>36</v>
      </c>
    </row>
    <row r="320" spans="1:16" x14ac:dyDescent="0.2">
      <c r="A320" s="2" t="s">
        <v>611</v>
      </c>
      <c r="B320" s="2" t="s">
        <v>612</v>
      </c>
      <c r="C320" s="2" t="s">
        <v>153</v>
      </c>
      <c r="D320" s="2" t="s">
        <v>19</v>
      </c>
      <c r="E320" s="2" t="s">
        <v>64</v>
      </c>
      <c r="F320" s="2" t="s">
        <v>59</v>
      </c>
      <c r="G320" s="2" t="s">
        <v>35</v>
      </c>
      <c r="H320" s="3">
        <v>5517</v>
      </c>
      <c r="I320" s="4">
        <v>25</v>
      </c>
      <c r="J320" s="5">
        <v>5.73</v>
      </c>
      <c r="K320" s="4">
        <v>85</v>
      </c>
      <c r="L320" s="3">
        <f t="shared" si="12"/>
        <v>827.55000000000007</v>
      </c>
      <c r="M320" s="3">
        <f t="shared" si="13"/>
        <v>29.444980054132515</v>
      </c>
      <c r="N320" s="3">
        <v>67.3</v>
      </c>
      <c r="O320" s="5">
        <f t="shared" si="14"/>
        <v>43.751827717878925</v>
      </c>
      <c r="P320" s="2" t="s">
        <v>36</v>
      </c>
    </row>
    <row r="321" spans="1:16" x14ac:dyDescent="0.2">
      <c r="A321" s="2" t="s">
        <v>613</v>
      </c>
      <c r="B321" s="2" t="s">
        <v>325</v>
      </c>
      <c r="C321" s="2" t="s">
        <v>100</v>
      </c>
      <c r="D321" s="2" t="s">
        <v>32</v>
      </c>
      <c r="E321" s="2" t="s">
        <v>68</v>
      </c>
      <c r="F321" s="2" t="s">
        <v>59</v>
      </c>
      <c r="G321" s="2" t="s">
        <v>98</v>
      </c>
      <c r="H321" s="3">
        <v>5885</v>
      </c>
      <c r="I321" s="4">
        <v>15</v>
      </c>
      <c r="J321" s="5">
        <v>5.07</v>
      </c>
      <c r="K321" s="4">
        <v>75</v>
      </c>
      <c r="L321" s="3">
        <f t="shared" si="12"/>
        <v>1471.25</v>
      </c>
      <c r="M321" s="3">
        <f t="shared" si="13"/>
        <v>35.06481029705283</v>
      </c>
      <c r="N321" s="3">
        <v>69.599999999999994</v>
      </c>
      <c r="O321" s="5">
        <f t="shared" si="14"/>
        <v>50.380474564731081</v>
      </c>
      <c r="P321" s="2" t="s">
        <v>23</v>
      </c>
    </row>
    <row r="322" spans="1:16" x14ac:dyDescent="0.2">
      <c r="A322" s="2" t="s">
        <v>614</v>
      </c>
      <c r="B322" s="2" t="s">
        <v>126</v>
      </c>
      <c r="C322" s="2" t="s">
        <v>153</v>
      </c>
      <c r="D322" s="2" t="s">
        <v>19</v>
      </c>
      <c r="E322" s="2" t="s">
        <v>41</v>
      </c>
      <c r="F322" s="2" t="s">
        <v>59</v>
      </c>
      <c r="G322" s="2" t="s">
        <v>98</v>
      </c>
      <c r="H322" s="3">
        <v>16618</v>
      </c>
      <c r="I322" s="4">
        <v>20</v>
      </c>
      <c r="J322" s="5">
        <v>5.39</v>
      </c>
      <c r="K322" s="4">
        <v>90</v>
      </c>
      <c r="L322" s="3">
        <f t="shared" ref="L322:L385" si="15">H322*(1-K322/100)</f>
        <v>1661.7999999999997</v>
      </c>
      <c r="M322" s="3">
        <f t="shared" ref="M322:M385" si="16">PMT(J322/100/12, I322*12, -(H322*K322/100))</f>
        <v>101.95482550131308</v>
      </c>
      <c r="N322" s="3">
        <v>204.2</v>
      </c>
      <c r="O322" s="5">
        <f t="shared" ref="O322:O385" si="17">IFERROR(M322/N322*100,0)</f>
        <v>49.928905730319826</v>
      </c>
      <c r="P322" s="2" t="s">
        <v>69</v>
      </c>
    </row>
    <row r="323" spans="1:16" x14ac:dyDescent="0.2">
      <c r="A323" s="2" t="s">
        <v>615</v>
      </c>
      <c r="B323" s="2" t="s">
        <v>566</v>
      </c>
      <c r="C323" s="2" t="s">
        <v>72</v>
      </c>
      <c r="D323" s="2" t="s">
        <v>73</v>
      </c>
      <c r="E323" s="2" t="s">
        <v>88</v>
      </c>
      <c r="F323" s="2" t="s">
        <v>59</v>
      </c>
      <c r="G323" s="2" t="s">
        <v>35</v>
      </c>
      <c r="H323" s="3">
        <v>3653</v>
      </c>
      <c r="I323" s="4">
        <v>25</v>
      </c>
      <c r="J323" s="5">
        <v>3.97</v>
      </c>
      <c r="K323" s="4">
        <v>80</v>
      </c>
      <c r="L323" s="3">
        <f t="shared" si="15"/>
        <v>730.5999999999998</v>
      </c>
      <c r="M323" s="3">
        <f t="shared" si="16"/>
        <v>15.377136527973102</v>
      </c>
      <c r="N323" s="3">
        <v>40.9</v>
      </c>
      <c r="O323" s="5">
        <f t="shared" si="17"/>
        <v>37.5969108263401</v>
      </c>
      <c r="P323" s="2" t="s">
        <v>36</v>
      </c>
    </row>
    <row r="324" spans="1:16" x14ac:dyDescent="0.2">
      <c r="A324" s="2" t="s">
        <v>616</v>
      </c>
      <c r="B324" s="2" t="s">
        <v>617</v>
      </c>
      <c r="C324" s="2" t="s">
        <v>77</v>
      </c>
      <c r="D324" s="2" t="s">
        <v>19</v>
      </c>
      <c r="E324" s="2" t="s">
        <v>97</v>
      </c>
      <c r="F324" s="2" t="s">
        <v>21</v>
      </c>
      <c r="G324" s="2" t="s">
        <v>35</v>
      </c>
      <c r="H324" s="3">
        <v>16775</v>
      </c>
      <c r="I324" s="4">
        <v>25</v>
      </c>
      <c r="J324" s="5">
        <v>4.33</v>
      </c>
      <c r="K324" s="4">
        <v>90</v>
      </c>
      <c r="L324" s="3">
        <f t="shared" si="15"/>
        <v>1677.4999999999995</v>
      </c>
      <c r="M324" s="3">
        <f t="shared" si="16"/>
        <v>82.466683741701829</v>
      </c>
      <c r="N324" s="3">
        <v>270.7</v>
      </c>
      <c r="O324" s="5">
        <f t="shared" si="17"/>
        <v>30.464234851016563</v>
      </c>
      <c r="P324" s="2" t="s">
        <v>36</v>
      </c>
    </row>
    <row r="325" spans="1:16" x14ac:dyDescent="0.2">
      <c r="A325" s="2" t="s">
        <v>618</v>
      </c>
      <c r="B325" s="2" t="s">
        <v>328</v>
      </c>
      <c r="C325" s="2" t="s">
        <v>47</v>
      </c>
      <c r="D325" s="2" t="s">
        <v>48</v>
      </c>
      <c r="E325" s="2" t="s">
        <v>156</v>
      </c>
      <c r="F325" s="2" t="s">
        <v>50</v>
      </c>
      <c r="G325" s="2" t="s">
        <v>22</v>
      </c>
      <c r="H325" s="3">
        <v>9749</v>
      </c>
      <c r="I325" s="4">
        <v>15</v>
      </c>
      <c r="J325" s="5">
        <v>5.34</v>
      </c>
      <c r="K325" s="4">
        <v>80</v>
      </c>
      <c r="L325" s="3">
        <f t="shared" si="15"/>
        <v>1949.7999999999995</v>
      </c>
      <c r="M325" s="3">
        <f t="shared" si="16"/>
        <v>63.065719954184843</v>
      </c>
      <c r="N325" s="3">
        <v>171.2</v>
      </c>
      <c r="O325" s="5">
        <f t="shared" si="17"/>
        <v>36.837453244266847</v>
      </c>
      <c r="P325" s="2" t="s">
        <v>23</v>
      </c>
    </row>
    <row r="326" spans="1:16" x14ac:dyDescent="0.2">
      <c r="A326" s="2" t="s">
        <v>619</v>
      </c>
      <c r="B326" s="2" t="s">
        <v>372</v>
      </c>
      <c r="C326" s="2" t="s">
        <v>131</v>
      </c>
      <c r="D326" s="2" t="s">
        <v>27</v>
      </c>
      <c r="E326" s="2" t="s">
        <v>156</v>
      </c>
      <c r="F326" s="2" t="s">
        <v>28</v>
      </c>
      <c r="G326" s="2" t="s">
        <v>44</v>
      </c>
      <c r="H326" s="3">
        <v>12448</v>
      </c>
      <c r="I326" s="4">
        <v>25</v>
      </c>
      <c r="J326" s="5">
        <v>4.28</v>
      </c>
      <c r="K326" s="4">
        <v>80</v>
      </c>
      <c r="L326" s="3">
        <f t="shared" si="15"/>
        <v>2489.5999999999995</v>
      </c>
      <c r="M326" s="3">
        <f t="shared" si="16"/>
        <v>54.115865595870602</v>
      </c>
      <c r="N326" s="3">
        <v>158.19999999999999</v>
      </c>
      <c r="O326" s="5">
        <f t="shared" si="17"/>
        <v>34.207247532155883</v>
      </c>
      <c r="P326" s="2" t="s">
        <v>36</v>
      </c>
    </row>
    <row r="327" spans="1:16" x14ac:dyDescent="0.2">
      <c r="A327" s="2" t="s">
        <v>620</v>
      </c>
      <c r="B327" s="2" t="s">
        <v>61</v>
      </c>
      <c r="C327" s="2" t="s">
        <v>175</v>
      </c>
      <c r="D327" s="2" t="s">
        <v>176</v>
      </c>
      <c r="E327" s="2" t="s">
        <v>58</v>
      </c>
      <c r="F327" s="2" t="s">
        <v>50</v>
      </c>
      <c r="G327" s="2" t="s">
        <v>98</v>
      </c>
      <c r="H327" s="3">
        <v>1921</v>
      </c>
      <c r="I327" s="4">
        <v>15</v>
      </c>
      <c r="J327" s="5">
        <v>5.57</v>
      </c>
      <c r="K327" s="4">
        <v>80</v>
      </c>
      <c r="L327" s="3">
        <f t="shared" si="15"/>
        <v>384.19999999999993</v>
      </c>
      <c r="M327" s="3">
        <f t="shared" si="16"/>
        <v>12.614096798775998</v>
      </c>
      <c r="N327" s="3">
        <v>33.299999999999997</v>
      </c>
      <c r="O327" s="5">
        <f t="shared" si="17"/>
        <v>37.880170566894897</v>
      </c>
      <c r="P327" s="2" t="s">
        <v>36</v>
      </c>
    </row>
    <row r="328" spans="1:16" x14ac:dyDescent="0.2">
      <c r="A328" s="2" t="s">
        <v>621</v>
      </c>
      <c r="B328" s="2" t="s">
        <v>622</v>
      </c>
      <c r="C328" s="2" t="s">
        <v>62</v>
      </c>
      <c r="D328" s="2" t="s">
        <v>63</v>
      </c>
      <c r="E328" s="2" t="s">
        <v>20</v>
      </c>
      <c r="F328" s="2" t="s">
        <v>21</v>
      </c>
      <c r="G328" s="2" t="s">
        <v>35</v>
      </c>
      <c r="H328" s="3">
        <v>8453</v>
      </c>
      <c r="I328" s="4">
        <v>15</v>
      </c>
      <c r="J328" s="5">
        <v>4.22</v>
      </c>
      <c r="K328" s="4">
        <v>90</v>
      </c>
      <c r="L328" s="3">
        <f t="shared" si="15"/>
        <v>845.29999999999984</v>
      </c>
      <c r="M328" s="3">
        <f t="shared" si="16"/>
        <v>57.115642514262014</v>
      </c>
      <c r="N328" s="3">
        <v>138.9</v>
      </c>
      <c r="O328" s="5">
        <f t="shared" si="17"/>
        <v>41.11997301242765</v>
      </c>
      <c r="P328" s="2" t="s">
        <v>36</v>
      </c>
    </row>
    <row r="329" spans="1:16" x14ac:dyDescent="0.2">
      <c r="A329" s="2" t="s">
        <v>623</v>
      </c>
      <c r="B329" s="2" t="s">
        <v>467</v>
      </c>
      <c r="C329" s="2" t="s">
        <v>84</v>
      </c>
      <c r="D329" s="2" t="s">
        <v>85</v>
      </c>
      <c r="E329" s="2" t="s">
        <v>78</v>
      </c>
      <c r="F329" s="2" t="s">
        <v>28</v>
      </c>
      <c r="G329" s="2" t="s">
        <v>22</v>
      </c>
      <c r="H329" s="3">
        <v>2906</v>
      </c>
      <c r="I329" s="4">
        <v>25</v>
      </c>
      <c r="J329" s="5">
        <v>5.22</v>
      </c>
      <c r="K329" s="4">
        <v>90</v>
      </c>
      <c r="L329" s="3">
        <f t="shared" si="15"/>
        <v>290.59999999999991</v>
      </c>
      <c r="M329" s="3">
        <f t="shared" si="16"/>
        <v>15.626468944496944</v>
      </c>
      <c r="N329" s="3">
        <v>30.9</v>
      </c>
      <c r="O329" s="5">
        <f t="shared" si="17"/>
        <v>50.571096907757109</v>
      </c>
      <c r="P329" s="2" t="s">
        <v>36</v>
      </c>
    </row>
    <row r="330" spans="1:16" x14ac:dyDescent="0.2">
      <c r="A330" s="2" t="s">
        <v>624</v>
      </c>
      <c r="B330" s="2" t="s">
        <v>90</v>
      </c>
      <c r="C330" s="2" t="s">
        <v>84</v>
      </c>
      <c r="D330" s="2" t="s">
        <v>85</v>
      </c>
      <c r="E330" s="2" t="s">
        <v>33</v>
      </c>
      <c r="F330" s="2" t="s">
        <v>50</v>
      </c>
      <c r="G330" s="2" t="s">
        <v>98</v>
      </c>
      <c r="H330" s="3">
        <v>11574</v>
      </c>
      <c r="I330" s="4">
        <v>20</v>
      </c>
      <c r="J330" s="5">
        <v>5.27</v>
      </c>
      <c r="K330" s="4">
        <v>80</v>
      </c>
      <c r="L330" s="3">
        <f t="shared" si="15"/>
        <v>2314.7999999999993</v>
      </c>
      <c r="M330" s="3">
        <f t="shared" si="16"/>
        <v>62.496076483078596</v>
      </c>
      <c r="N330" s="3">
        <v>201.9</v>
      </c>
      <c r="O330" s="5">
        <f t="shared" si="17"/>
        <v>30.953975474531248</v>
      </c>
      <c r="P330" s="2" t="s">
        <v>23</v>
      </c>
    </row>
    <row r="331" spans="1:16" x14ac:dyDescent="0.2">
      <c r="A331" s="2" t="s">
        <v>625</v>
      </c>
      <c r="B331" s="2" t="s">
        <v>626</v>
      </c>
      <c r="C331" s="2" t="s">
        <v>26</v>
      </c>
      <c r="D331" s="2" t="s">
        <v>27</v>
      </c>
      <c r="E331" s="2" t="s">
        <v>88</v>
      </c>
      <c r="F331" s="2" t="s">
        <v>28</v>
      </c>
      <c r="G331" s="2" t="s">
        <v>35</v>
      </c>
      <c r="H331" s="3">
        <v>15353</v>
      </c>
      <c r="I331" s="4">
        <v>30</v>
      </c>
      <c r="J331" s="5">
        <v>5.72</v>
      </c>
      <c r="K331" s="4">
        <v>80</v>
      </c>
      <c r="L331" s="3">
        <f t="shared" si="15"/>
        <v>3070.5999999999995</v>
      </c>
      <c r="M331" s="3">
        <f t="shared" si="16"/>
        <v>71.442847709926696</v>
      </c>
      <c r="N331" s="3">
        <v>175.6</v>
      </c>
      <c r="O331" s="5">
        <f t="shared" si="17"/>
        <v>40.684993001097212</v>
      </c>
      <c r="P331" s="2" t="s">
        <v>36</v>
      </c>
    </row>
    <row r="332" spans="1:16" x14ac:dyDescent="0.2">
      <c r="A332" s="2" t="s">
        <v>627</v>
      </c>
      <c r="B332" s="2" t="s">
        <v>348</v>
      </c>
      <c r="C332" s="2" t="s">
        <v>119</v>
      </c>
      <c r="D332" s="2" t="s">
        <v>120</v>
      </c>
      <c r="E332" s="2" t="s">
        <v>97</v>
      </c>
      <c r="F332" s="2" t="s">
        <v>59</v>
      </c>
      <c r="G332" s="2" t="s">
        <v>22</v>
      </c>
      <c r="H332" s="3">
        <v>13616</v>
      </c>
      <c r="I332" s="4">
        <v>15</v>
      </c>
      <c r="J332" s="5">
        <v>5.13</v>
      </c>
      <c r="K332" s="4">
        <v>90</v>
      </c>
      <c r="L332" s="3">
        <f t="shared" si="15"/>
        <v>1361.5999999999997</v>
      </c>
      <c r="M332" s="3">
        <f t="shared" si="16"/>
        <v>97.738903966281441</v>
      </c>
      <c r="N332" s="3">
        <v>166.7</v>
      </c>
      <c r="O332" s="5">
        <f t="shared" si="17"/>
        <v>58.631616056557554</v>
      </c>
      <c r="P332" s="2" t="s">
        <v>36</v>
      </c>
    </row>
    <row r="333" spans="1:16" x14ac:dyDescent="0.2">
      <c r="A333" s="2" t="s">
        <v>628</v>
      </c>
      <c r="B333" s="2" t="s">
        <v>444</v>
      </c>
      <c r="C333" s="2" t="s">
        <v>100</v>
      </c>
      <c r="D333" s="2" t="s">
        <v>32</v>
      </c>
      <c r="E333" s="2" t="s">
        <v>78</v>
      </c>
      <c r="F333" s="2" t="s">
        <v>34</v>
      </c>
      <c r="G333" s="2" t="s">
        <v>35</v>
      </c>
      <c r="H333" s="3">
        <v>16035</v>
      </c>
      <c r="I333" s="4">
        <v>20</v>
      </c>
      <c r="J333" s="5">
        <v>5.79</v>
      </c>
      <c r="K333" s="4">
        <v>80</v>
      </c>
      <c r="L333" s="3">
        <f t="shared" si="15"/>
        <v>3206.9999999999991</v>
      </c>
      <c r="M333" s="3">
        <f t="shared" si="16"/>
        <v>90.356454074796758</v>
      </c>
      <c r="N333" s="3">
        <v>245.3</v>
      </c>
      <c r="O333" s="5">
        <f t="shared" si="17"/>
        <v>36.835081155644822</v>
      </c>
      <c r="P333" s="2" t="s">
        <v>36</v>
      </c>
    </row>
    <row r="334" spans="1:16" x14ac:dyDescent="0.2">
      <c r="A334" s="2" t="s">
        <v>629</v>
      </c>
      <c r="B334" s="2" t="s">
        <v>630</v>
      </c>
      <c r="C334" s="2" t="s">
        <v>53</v>
      </c>
      <c r="D334" s="2" t="s">
        <v>19</v>
      </c>
      <c r="E334" s="2" t="s">
        <v>78</v>
      </c>
      <c r="F334" s="2" t="s">
        <v>28</v>
      </c>
      <c r="G334" s="2" t="s">
        <v>98</v>
      </c>
      <c r="H334" s="3">
        <v>1625</v>
      </c>
      <c r="I334" s="4">
        <v>30</v>
      </c>
      <c r="J334" s="5">
        <v>4.47</v>
      </c>
      <c r="K334" s="4">
        <v>70</v>
      </c>
      <c r="L334" s="3">
        <f t="shared" si="15"/>
        <v>487.50000000000006</v>
      </c>
      <c r="M334" s="3">
        <f t="shared" si="16"/>
        <v>5.7432868481873962</v>
      </c>
      <c r="N334" s="3">
        <v>26.8</v>
      </c>
      <c r="O334" s="5">
        <f t="shared" si="17"/>
        <v>21.430174806669388</v>
      </c>
      <c r="P334" s="2" t="s">
        <v>36</v>
      </c>
    </row>
    <row r="335" spans="1:16" x14ac:dyDescent="0.2">
      <c r="A335" s="2" t="s">
        <v>631</v>
      </c>
      <c r="B335" s="2" t="s">
        <v>632</v>
      </c>
      <c r="C335" s="2" t="s">
        <v>100</v>
      </c>
      <c r="D335" s="2" t="s">
        <v>32</v>
      </c>
      <c r="E335" s="2" t="s">
        <v>97</v>
      </c>
      <c r="F335" s="2" t="s">
        <v>34</v>
      </c>
      <c r="G335" s="2" t="s">
        <v>35</v>
      </c>
      <c r="H335" s="3">
        <v>6744</v>
      </c>
      <c r="I335" s="4">
        <v>25</v>
      </c>
      <c r="J335" s="5">
        <v>4.55</v>
      </c>
      <c r="K335" s="4">
        <v>90</v>
      </c>
      <c r="L335" s="3">
        <f t="shared" si="15"/>
        <v>674.39999999999986</v>
      </c>
      <c r="M335" s="3">
        <f t="shared" si="16"/>
        <v>33.90929527907943</v>
      </c>
      <c r="N335" s="3">
        <v>83.2</v>
      </c>
      <c r="O335" s="5">
        <f t="shared" si="17"/>
        <v>40.756364518124315</v>
      </c>
      <c r="P335" s="2" t="s">
        <v>36</v>
      </c>
    </row>
    <row r="336" spans="1:16" x14ac:dyDescent="0.2">
      <c r="A336" s="2" t="s">
        <v>633</v>
      </c>
      <c r="B336" s="2" t="s">
        <v>634</v>
      </c>
      <c r="C336" s="2" t="s">
        <v>100</v>
      </c>
      <c r="D336" s="2" t="s">
        <v>32</v>
      </c>
      <c r="E336" s="2" t="s">
        <v>68</v>
      </c>
      <c r="F336" s="2" t="s">
        <v>59</v>
      </c>
      <c r="G336" s="2" t="s">
        <v>44</v>
      </c>
      <c r="H336" s="3">
        <v>6454</v>
      </c>
      <c r="I336" s="4">
        <v>25</v>
      </c>
      <c r="J336" s="5">
        <v>4.6100000000000003</v>
      </c>
      <c r="K336" s="4">
        <v>90</v>
      </c>
      <c r="L336" s="3">
        <f t="shared" si="15"/>
        <v>645.39999999999986</v>
      </c>
      <c r="M336" s="3">
        <f t="shared" si="16"/>
        <v>32.649821956722953</v>
      </c>
      <c r="N336" s="3">
        <v>110.7</v>
      </c>
      <c r="O336" s="5">
        <f t="shared" si="17"/>
        <v>29.493967440580803</v>
      </c>
      <c r="P336" s="2" t="s">
        <v>36</v>
      </c>
    </row>
    <row r="337" spans="1:16" x14ac:dyDescent="0.2">
      <c r="A337" s="2" t="s">
        <v>635</v>
      </c>
      <c r="B337" s="2" t="s">
        <v>428</v>
      </c>
      <c r="C337" s="2" t="s">
        <v>53</v>
      </c>
      <c r="D337" s="2" t="s">
        <v>19</v>
      </c>
      <c r="E337" s="2" t="s">
        <v>78</v>
      </c>
      <c r="F337" s="2" t="s">
        <v>21</v>
      </c>
      <c r="G337" s="2" t="s">
        <v>35</v>
      </c>
      <c r="H337" s="3">
        <v>11192</v>
      </c>
      <c r="I337" s="4">
        <v>15</v>
      </c>
      <c r="J337" s="5">
        <v>4.7699999999999996</v>
      </c>
      <c r="K337" s="4">
        <v>85</v>
      </c>
      <c r="L337" s="3">
        <f t="shared" si="15"/>
        <v>1678.8000000000002</v>
      </c>
      <c r="M337" s="3">
        <f t="shared" si="16"/>
        <v>74.094921839053782</v>
      </c>
      <c r="N337" s="3">
        <v>176.4</v>
      </c>
      <c r="O337" s="5">
        <f t="shared" si="17"/>
        <v>42.003923945041826</v>
      </c>
      <c r="P337" s="2" t="s">
        <v>69</v>
      </c>
    </row>
    <row r="338" spans="1:16" x14ac:dyDescent="0.2">
      <c r="A338" s="2" t="s">
        <v>636</v>
      </c>
      <c r="B338" s="2" t="s">
        <v>637</v>
      </c>
      <c r="C338" s="2" t="s">
        <v>67</v>
      </c>
      <c r="D338" s="2" t="s">
        <v>67</v>
      </c>
      <c r="E338" s="2" t="s">
        <v>88</v>
      </c>
      <c r="F338" s="2" t="s">
        <v>21</v>
      </c>
      <c r="G338" s="2" t="s">
        <v>22</v>
      </c>
      <c r="H338" s="3">
        <v>13976</v>
      </c>
      <c r="I338" s="4">
        <v>20</v>
      </c>
      <c r="J338" s="5">
        <v>4.99</v>
      </c>
      <c r="K338" s="4">
        <v>90</v>
      </c>
      <c r="L338" s="3">
        <f t="shared" si="15"/>
        <v>1397.5999999999997</v>
      </c>
      <c r="M338" s="3">
        <f t="shared" si="16"/>
        <v>82.942402678097338</v>
      </c>
      <c r="N338" s="3">
        <v>182.1</v>
      </c>
      <c r="O338" s="5">
        <f t="shared" si="17"/>
        <v>45.547722503073771</v>
      </c>
      <c r="P338" s="2" t="s">
        <v>36</v>
      </c>
    </row>
    <row r="339" spans="1:16" x14ac:dyDescent="0.2">
      <c r="A339" s="2" t="s">
        <v>638</v>
      </c>
      <c r="B339" s="2" t="s">
        <v>639</v>
      </c>
      <c r="C339" s="2" t="s">
        <v>91</v>
      </c>
      <c r="D339" s="2" t="s">
        <v>92</v>
      </c>
      <c r="E339" s="2" t="s">
        <v>74</v>
      </c>
      <c r="F339" s="2" t="s">
        <v>21</v>
      </c>
      <c r="G339" s="2" t="s">
        <v>35</v>
      </c>
      <c r="H339" s="3">
        <v>7384</v>
      </c>
      <c r="I339" s="4">
        <v>20</v>
      </c>
      <c r="J339" s="5">
        <v>4.3099999999999996</v>
      </c>
      <c r="K339" s="4">
        <v>85</v>
      </c>
      <c r="L339" s="3">
        <f t="shared" si="15"/>
        <v>1107.6000000000001</v>
      </c>
      <c r="M339" s="3">
        <f t="shared" si="16"/>
        <v>39.066788853918318</v>
      </c>
      <c r="N339" s="3">
        <v>114.5</v>
      </c>
      <c r="O339" s="5">
        <f t="shared" si="17"/>
        <v>34.119466247963601</v>
      </c>
      <c r="P339" s="2" t="s">
        <v>36</v>
      </c>
    </row>
    <row r="340" spans="1:16" x14ac:dyDescent="0.2">
      <c r="A340" s="2" t="s">
        <v>640</v>
      </c>
      <c r="B340" s="2" t="s">
        <v>290</v>
      </c>
      <c r="C340" s="2" t="s">
        <v>18</v>
      </c>
      <c r="D340" s="2" t="s">
        <v>19</v>
      </c>
      <c r="E340" s="2" t="s">
        <v>177</v>
      </c>
      <c r="F340" s="2" t="s">
        <v>34</v>
      </c>
      <c r="G340" s="2" t="s">
        <v>22</v>
      </c>
      <c r="H340" s="3">
        <v>13288</v>
      </c>
      <c r="I340" s="4">
        <v>20</v>
      </c>
      <c r="J340" s="5">
        <v>3.92</v>
      </c>
      <c r="K340" s="4">
        <v>80</v>
      </c>
      <c r="L340" s="3">
        <f t="shared" si="15"/>
        <v>2657.5999999999995</v>
      </c>
      <c r="M340" s="3">
        <f t="shared" si="16"/>
        <v>63.970896366102941</v>
      </c>
      <c r="N340" s="3">
        <v>189.9</v>
      </c>
      <c r="O340" s="5">
        <f t="shared" si="17"/>
        <v>33.686622625646621</v>
      </c>
      <c r="P340" s="2" t="s">
        <v>69</v>
      </c>
    </row>
    <row r="341" spans="1:16" x14ac:dyDescent="0.2">
      <c r="A341" s="2" t="s">
        <v>641</v>
      </c>
      <c r="B341" s="2" t="s">
        <v>375</v>
      </c>
      <c r="C341" s="2" t="s">
        <v>131</v>
      </c>
      <c r="D341" s="2" t="s">
        <v>27</v>
      </c>
      <c r="E341" s="2" t="s">
        <v>78</v>
      </c>
      <c r="F341" s="2" t="s">
        <v>34</v>
      </c>
      <c r="G341" s="2" t="s">
        <v>44</v>
      </c>
      <c r="H341" s="3">
        <v>16189</v>
      </c>
      <c r="I341" s="4">
        <v>15</v>
      </c>
      <c r="J341" s="5">
        <v>4.8099999999999996</v>
      </c>
      <c r="K341" s="4">
        <v>80</v>
      </c>
      <c r="L341" s="3">
        <f t="shared" si="15"/>
        <v>3237.7999999999993</v>
      </c>
      <c r="M341" s="3">
        <f t="shared" si="16"/>
        <v>101.14000416977585</v>
      </c>
      <c r="N341" s="3">
        <v>246.9</v>
      </c>
      <c r="O341" s="5">
        <f t="shared" si="17"/>
        <v>40.963954706268062</v>
      </c>
      <c r="P341" s="2" t="s">
        <v>36</v>
      </c>
    </row>
    <row r="342" spans="1:16" x14ac:dyDescent="0.2">
      <c r="A342" s="2" t="s">
        <v>642</v>
      </c>
      <c r="B342" s="2" t="s">
        <v>643</v>
      </c>
      <c r="C342" s="2" t="s">
        <v>175</v>
      </c>
      <c r="D342" s="2" t="s">
        <v>176</v>
      </c>
      <c r="E342" s="2" t="s">
        <v>107</v>
      </c>
      <c r="F342" s="2" t="s">
        <v>28</v>
      </c>
      <c r="G342" s="2" t="s">
        <v>44</v>
      </c>
      <c r="H342" s="3">
        <v>7595</v>
      </c>
      <c r="I342" s="4">
        <v>20</v>
      </c>
      <c r="J342" s="5">
        <v>4.6900000000000004</v>
      </c>
      <c r="K342" s="4">
        <v>70</v>
      </c>
      <c r="L342" s="3">
        <f t="shared" si="15"/>
        <v>2278.5000000000005</v>
      </c>
      <c r="M342" s="3">
        <f t="shared" si="16"/>
        <v>34.182508714713336</v>
      </c>
      <c r="N342" s="3">
        <v>91.2</v>
      </c>
      <c r="O342" s="5">
        <f t="shared" si="17"/>
        <v>37.480820959115498</v>
      </c>
      <c r="P342" s="2" t="s">
        <v>29</v>
      </c>
    </row>
    <row r="343" spans="1:16" x14ac:dyDescent="0.2">
      <c r="A343" s="2" t="s">
        <v>644</v>
      </c>
      <c r="B343" s="2" t="s">
        <v>645</v>
      </c>
      <c r="C343" s="2" t="s">
        <v>26</v>
      </c>
      <c r="D343" s="2" t="s">
        <v>27</v>
      </c>
      <c r="E343" s="2" t="s">
        <v>88</v>
      </c>
      <c r="F343" s="2" t="s">
        <v>59</v>
      </c>
      <c r="G343" s="2" t="s">
        <v>22</v>
      </c>
      <c r="H343" s="3">
        <v>13890</v>
      </c>
      <c r="I343" s="4">
        <v>20</v>
      </c>
      <c r="J343" s="5">
        <v>5</v>
      </c>
      <c r="K343" s="4">
        <v>70</v>
      </c>
      <c r="L343" s="3">
        <f t="shared" si="15"/>
        <v>4167.0000000000009</v>
      </c>
      <c r="M343" s="3">
        <f t="shared" si="16"/>
        <v>64.167496524035599</v>
      </c>
      <c r="N343" s="3">
        <v>150.30000000000001</v>
      </c>
      <c r="O343" s="5">
        <f t="shared" si="17"/>
        <v>42.692945125772184</v>
      </c>
      <c r="P343" s="2" t="s">
        <v>36</v>
      </c>
    </row>
    <row r="344" spans="1:16" x14ac:dyDescent="0.2">
      <c r="A344" s="2" t="s">
        <v>646</v>
      </c>
      <c r="B344" s="2" t="s">
        <v>602</v>
      </c>
      <c r="C344" s="2" t="s">
        <v>84</v>
      </c>
      <c r="D344" s="2" t="s">
        <v>85</v>
      </c>
      <c r="E344" s="2" t="s">
        <v>81</v>
      </c>
      <c r="F344" s="2" t="s">
        <v>28</v>
      </c>
      <c r="G344" s="2" t="s">
        <v>98</v>
      </c>
      <c r="H344" s="3">
        <v>4990</v>
      </c>
      <c r="I344" s="4">
        <v>15</v>
      </c>
      <c r="J344" s="5">
        <v>4.1100000000000003</v>
      </c>
      <c r="K344" s="4">
        <v>80</v>
      </c>
      <c r="L344" s="3">
        <f t="shared" si="15"/>
        <v>997.99999999999977</v>
      </c>
      <c r="M344" s="3">
        <f t="shared" si="16"/>
        <v>29.748877981823327</v>
      </c>
      <c r="N344" s="3">
        <v>72.2</v>
      </c>
      <c r="O344" s="5">
        <f t="shared" si="17"/>
        <v>41.203432107788544</v>
      </c>
      <c r="P344" s="2" t="s">
        <v>29</v>
      </c>
    </row>
    <row r="345" spans="1:16" x14ac:dyDescent="0.2">
      <c r="A345" s="2" t="s">
        <v>647</v>
      </c>
      <c r="B345" s="2" t="s">
        <v>179</v>
      </c>
      <c r="C345" s="2" t="s">
        <v>47</v>
      </c>
      <c r="D345" s="2" t="s">
        <v>48</v>
      </c>
      <c r="E345" s="2" t="s">
        <v>41</v>
      </c>
      <c r="F345" s="2" t="s">
        <v>59</v>
      </c>
      <c r="G345" s="2" t="s">
        <v>22</v>
      </c>
      <c r="H345" s="3">
        <v>10392</v>
      </c>
      <c r="I345" s="4">
        <v>25</v>
      </c>
      <c r="J345" s="5">
        <v>4.46</v>
      </c>
      <c r="K345" s="4">
        <v>75</v>
      </c>
      <c r="L345" s="3">
        <f t="shared" si="15"/>
        <v>2598</v>
      </c>
      <c r="M345" s="3">
        <f t="shared" si="16"/>
        <v>43.144817642154798</v>
      </c>
      <c r="N345" s="3">
        <v>162.80000000000001</v>
      </c>
      <c r="O345" s="5">
        <f t="shared" si="17"/>
        <v>26.501730738424321</v>
      </c>
      <c r="P345" s="2" t="s">
        <v>36</v>
      </c>
    </row>
    <row r="346" spans="1:16" x14ac:dyDescent="0.2">
      <c r="A346" s="2" t="s">
        <v>648</v>
      </c>
      <c r="B346" s="2" t="s">
        <v>649</v>
      </c>
      <c r="C346" s="2" t="s">
        <v>32</v>
      </c>
      <c r="D346" s="2" t="s">
        <v>32</v>
      </c>
      <c r="E346" s="2" t="s">
        <v>88</v>
      </c>
      <c r="F346" s="2" t="s">
        <v>21</v>
      </c>
      <c r="G346" s="2" t="s">
        <v>35</v>
      </c>
      <c r="H346" s="3">
        <v>5755</v>
      </c>
      <c r="I346" s="4">
        <v>25</v>
      </c>
      <c r="J346" s="5">
        <v>4.54</v>
      </c>
      <c r="K346" s="4">
        <v>75</v>
      </c>
      <c r="L346" s="3">
        <f t="shared" si="15"/>
        <v>1438.75</v>
      </c>
      <c r="M346" s="3">
        <f t="shared" si="16"/>
        <v>24.08922115614714</v>
      </c>
      <c r="N346" s="3">
        <v>77.400000000000006</v>
      </c>
      <c r="O346" s="5">
        <f t="shared" si="17"/>
        <v>31.123024749544104</v>
      </c>
      <c r="P346" s="2" t="s">
        <v>36</v>
      </c>
    </row>
    <row r="347" spans="1:16" x14ac:dyDescent="0.2">
      <c r="A347" s="2" t="s">
        <v>650</v>
      </c>
      <c r="B347" s="2" t="s">
        <v>651</v>
      </c>
      <c r="C347" s="2" t="s">
        <v>77</v>
      </c>
      <c r="D347" s="2" t="s">
        <v>19</v>
      </c>
      <c r="E347" s="2" t="s">
        <v>177</v>
      </c>
      <c r="F347" s="2" t="s">
        <v>28</v>
      </c>
      <c r="G347" s="2" t="s">
        <v>22</v>
      </c>
      <c r="H347" s="3">
        <v>4887</v>
      </c>
      <c r="I347" s="4">
        <v>30</v>
      </c>
      <c r="J347" s="5">
        <v>5.48</v>
      </c>
      <c r="K347" s="4">
        <v>80</v>
      </c>
      <c r="L347" s="3">
        <f t="shared" si="15"/>
        <v>977.39999999999975</v>
      </c>
      <c r="M347" s="3">
        <f t="shared" si="16"/>
        <v>22.149244862579216</v>
      </c>
      <c r="N347" s="3">
        <v>82.8</v>
      </c>
      <c r="O347" s="5">
        <f t="shared" si="17"/>
        <v>26.750295727752675</v>
      </c>
      <c r="P347" s="2" t="s">
        <v>36</v>
      </c>
    </row>
    <row r="348" spans="1:16" x14ac:dyDescent="0.2">
      <c r="A348" s="2" t="s">
        <v>652</v>
      </c>
      <c r="B348" s="2" t="s">
        <v>653</v>
      </c>
      <c r="C348" s="2" t="s">
        <v>62</v>
      </c>
      <c r="D348" s="2" t="s">
        <v>63</v>
      </c>
      <c r="E348" s="2" t="s">
        <v>41</v>
      </c>
      <c r="F348" s="2" t="s">
        <v>59</v>
      </c>
      <c r="G348" s="2" t="s">
        <v>98</v>
      </c>
      <c r="H348" s="3">
        <v>12321</v>
      </c>
      <c r="I348" s="4">
        <v>25</v>
      </c>
      <c r="J348" s="5">
        <v>5.12</v>
      </c>
      <c r="K348" s="4">
        <v>75</v>
      </c>
      <c r="L348" s="3">
        <f t="shared" si="15"/>
        <v>3080.25</v>
      </c>
      <c r="M348" s="3">
        <f t="shared" si="16"/>
        <v>54.668537002616688</v>
      </c>
      <c r="N348" s="3">
        <v>131.9</v>
      </c>
      <c r="O348" s="5">
        <f t="shared" si="17"/>
        <v>41.446957545577476</v>
      </c>
      <c r="P348" s="2" t="s">
        <v>23</v>
      </c>
    </row>
    <row r="349" spans="1:16" x14ac:dyDescent="0.2">
      <c r="A349" s="2" t="s">
        <v>654</v>
      </c>
      <c r="B349" s="2" t="s">
        <v>655</v>
      </c>
      <c r="C349" s="2" t="s">
        <v>142</v>
      </c>
      <c r="D349" s="2" t="s">
        <v>143</v>
      </c>
      <c r="E349" s="2" t="s">
        <v>81</v>
      </c>
      <c r="F349" s="2" t="s">
        <v>21</v>
      </c>
      <c r="G349" s="2" t="s">
        <v>22</v>
      </c>
      <c r="H349" s="3">
        <v>9271</v>
      </c>
      <c r="I349" s="4">
        <v>25</v>
      </c>
      <c r="J349" s="5">
        <v>5.28</v>
      </c>
      <c r="K349" s="4">
        <v>85</v>
      </c>
      <c r="L349" s="3">
        <f t="shared" si="15"/>
        <v>1390.6500000000003</v>
      </c>
      <c r="M349" s="3">
        <f t="shared" si="16"/>
        <v>47.362395344594354</v>
      </c>
      <c r="N349" s="3">
        <v>159.80000000000001</v>
      </c>
      <c r="O349" s="5">
        <f t="shared" si="17"/>
        <v>29.638545271961419</v>
      </c>
      <c r="P349" s="2" t="s">
        <v>36</v>
      </c>
    </row>
    <row r="350" spans="1:16" x14ac:dyDescent="0.2">
      <c r="A350" s="2" t="s">
        <v>656</v>
      </c>
      <c r="B350" s="2" t="s">
        <v>580</v>
      </c>
      <c r="C350" s="2" t="s">
        <v>77</v>
      </c>
      <c r="D350" s="2" t="s">
        <v>19</v>
      </c>
      <c r="E350" s="2" t="s">
        <v>156</v>
      </c>
      <c r="F350" s="2" t="s">
        <v>59</v>
      </c>
      <c r="G350" s="2" t="s">
        <v>35</v>
      </c>
      <c r="H350" s="3">
        <v>3541</v>
      </c>
      <c r="I350" s="4">
        <v>25</v>
      </c>
      <c r="J350" s="5">
        <v>4.57</v>
      </c>
      <c r="K350" s="4">
        <v>80</v>
      </c>
      <c r="L350" s="3">
        <f t="shared" si="15"/>
        <v>708.19999999999982</v>
      </c>
      <c r="M350" s="3">
        <f t="shared" si="16"/>
        <v>15.858387111987259</v>
      </c>
      <c r="N350" s="3">
        <v>58.8</v>
      </c>
      <c r="O350" s="5">
        <f t="shared" si="17"/>
        <v>26.970046108821872</v>
      </c>
      <c r="P350" s="2" t="s">
        <v>36</v>
      </c>
    </row>
    <row r="351" spans="1:16" x14ac:dyDescent="0.2">
      <c r="A351" s="2" t="s">
        <v>657</v>
      </c>
      <c r="B351" s="2" t="s">
        <v>585</v>
      </c>
      <c r="C351" s="2" t="s">
        <v>72</v>
      </c>
      <c r="D351" s="2" t="s">
        <v>73</v>
      </c>
      <c r="E351" s="2" t="s">
        <v>114</v>
      </c>
      <c r="F351" s="2" t="s">
        <v>59</v>
      </c>
      <c r="G351" s="2" t="s">
        <v>44</v>
      </c>
      <c r="H351" s="3">
        <v>8739</v>
      </c>
      <c r="I351" s="4">
        <v>30</v>
      </c>
      <c r="J351" s="5">
        <v>4.34</v>
      </c>
      <c r="K351" s="4">
        <v>80</v>
      </c>
      <c r="L351" s="3">
        <f t="shared" si="15"/>
        <v>1747.7999999999995</v>
      </c>
      <c r="M351" s="3">
        <f t="shared" si="16"/>
        <v>34.761855783810027</v>
      </c>
      <c r="N351" s="3">
        <v>116.1</v>
      </c>
      <c r="O351" s="5">
        <f t="shared" si="17"/>
        <v>29.941305584677025</v>
      </c>
      <c r="P351" s="2" t="s">
        <v>36</v>
      </c>
    </row>
    <row r="352" spans="1:16" x14ac:dyDescent="0.2">
      <c r="A352" s="2" t="s">
        <v>658</v>
      </c>
      <c r="B352" s="2" t="s">
        <v>659</v>
      </c>
      <c r="C352" s="2" t="s">
        <v>100</v>
      </c>
      <c r="D352" s="2" t="s">
        <v>32</v>
      </c>
      <c r="E352" s="2" t="s">
        <v>49</v>
      </c>
      <c r="F352" s="2" t="s">
        <v>21</v>
      </c>
      <c r="G352" s="2" t="s">
        <v>98</v>
      </c>
      <c r="H352" s="3">
        <v>7259</v>
      </c>
      <c r="I352" s="4">
        <v>30</v>
      </c>
      <c r="J352" s="5">
        <v>5.27</v>
      </c>
      <c r="K352" s="4">
        <v>85</v>
      </c>
      <c r="L352" s="3">
        <f t="shared" si="15"/>
        <v>1088.8500000000001</v>
      </c>
      <c r="M352" s="3">
        <f t="shared" si="16"/>
        <v>34.148269979102281</v>
      </c>
      <c r="N352" s="3">
        <v>94.8</v>
      </c>
      <c r="O352" s="5">
        <f t="shared" si="17"/>
        <v>36.021381834496083</v>
      </c>
      <c r="P352" s="2" t="s">
        <v>36</v>
      </c>
    </row>
    <row r="353" spans="1:16" x14ac:dyDescent="0.2">
      <c r="A353" s="2" t="s">
        <v>660</v>
      </c>
      <c r="B353" s="2" t="s">
        <v>661</v>
      </c>
      <c r="C353" s="2" t="s">
        <v>62</v>
      </c>
      <c r="D353" s="2" t="s">
        <v>63</v>
      </c>
      <c r="E353" s="2" t="s">
        <v>177</v>
      </c>
      <c r="F353" s="2" t="s">
        <v>59</v>
      </c>
      <c r="G353" s="2" t="s">
        <v>35</v>
      </c>
      <c r="H353" s="3">
        <v>6126</v>
      </c>
      <c r="I353" s="4">
        <v>20</v>
      </c>
      <c r="J353" s="5">
        <v>4.29</v>
      </c>
      <c r="K353" s="4">
        <v>75</v>
      </c>
      <c r="L353" s="3">
        <f t="shared" si="15"/>
        <v>1531.5</v>
      </c>
      <c r="M353" s="3">
        <f t="shared" si="16"/>
        <v>28.548848645274489</v>
      </c>
      <c r="N353" s="3">
        <v>78.400000000000006</v>
      </c>
      <c r="O353" s="5">
        <f t="shared" si="17"/>
        <v>36.414347761829703</v>
      </c>
      <c r="P353" s="2" t="s">
        <v>36</v>
      </c>
    </row>
    <row r="354" spans="1:16" x14ac:dyDescent="0.2">
      <c r="A354" s="2" t="s">
        <v>662</v>
      </c>
      <c r="B354" s="2" t="s">
        <v>504</v>
      </c>
      <c r="C354" s="2" t="s">
        <v>26</v>
      </c>
      <c r="D354" s="2" t="s">
        <v>27</v>
      </c>
      <c r="E354" s="2" t="s">
        <v>156</v>
      </c>
      <c r="F354" s="2" t="s">
        <v>21</v>
      </c>
      <c r="G354" s="2" t="s">
        <v>35</v>
      </c>
      <c r="H354" s="3">
        <v>15600</v>
      </c>
      <c r="I354" s="4">
        <v>30</v>
      </c>
      <c r="J354" s="5">
        <v>5.36</v>
      </c>
      <c r="K354" s="4">
        <v>75</v>
      </c>
      <c r="L354" s="3">
        <f t="shared" si="15"/>
        <v>3900</v>
      </c>
      <c r="M354" s="3">
        <f t="shared" si="16"/>
        <v>65.407267099968252</v>
      </c>
      <c r="N354" s="3">
        <v>164.8</v>
      </c>
      <c r="O354" s="5">
        <f t="shared" si="17"/>
        <v>39.688875667456458</v>
      </c>
      <c r="P354" s="2" t="s">
        <v>23</v>
      </c>
    </row>
    <row r="355" spans="1:16" x14ac:dyDescent="0.2">
      <c r="A355" s="2" t="s">
        <v>663</v>
      </c>
      <c r="B355" s="2" t="s">
        <v>664</v>
      </c>
      <c r="C355" s="2" t="s">
        <v>100</v>
      </c>
      <c r="D355" s="2" t="s">
        <v>32</v>
      </c>
      <c r="E355" s="2" t="s">
        <v>107</v>
      </c>
      <c r="F355" s="2" t="s">
        <v>28</v>
      </c>
      <c r="G355" s="2" t="s">
        <v>22</v>
      </c>
      <c r="H355" s="3">
        <v>2549</v>
      </c>
      <c r="I355" s="4">
        <v>20</v>
      </c>
      <c r="J355" s="5">
        <v>4.6399999999999997</v>
      </c>
      <c r="K355" s="4">
        <v>75</v>
      </c>
      <c r="L355" s="3">
        <f t="shared" si="15"/>
        <v>637.25</v>
      </c>
      <c r="M355" s="3">
        <f t="shared" si="16"/>
        <v>12.239624163393952</v>
      </c>
      <c r="N355" s="3">
        <v>34.200000000000003</v>
      </c>
      <c r="O355" s="5">
        <f t="shared" si="17"/>
        <v>35.788374746765939</v>
      </c>
      <c r="P355" s="2" t="s">
        <v>36</v>
      </c>
    </row>
    <row r="356" spans="1:16" x14ac:dyDescent="0.2">
      <c r="A356" s="2" t="s">
        <v>665</v>
      </c>
      <c r="B356" s="2" t="s">
        <v>487</v>
      </c>
      <c r="C356" s="2" t="s">
        <v>39</v>
      </c>
      <c r="D356" s="2" t="s">
        <v>40</v>
      </c>
      <c r="E356" s="2" t="s">
        <v>107</v>
      </c>
      <c r="F356" s="2" t="s">
        <v>28</v>
      </c>
      <c r="G356" s="2" t="s">
        <v>44</v>
      </c>
      <c r="H356" s="3">
        <v>8380</v>
      </c>
      <c r="I356" s="4">
        <v>20</v>
      </c>
      <c r="J356" s="5">
        <v>4.0599999999999996</v>
      </c>
      <c r="K356" s="4">
        <v>80</v>
      </c>
      <c r="L356" s="3">
        <f t="shared" si="15"/>
        <v>1675.9999999999995</v>
      </c>
      <c r="M356" s="3">
        <f t="shared" si="16"/>
        <v>40.837187201751981</v>
      </c>
      <c r="N356" s="3">
        <v>97.1</v>
      </c>
      <c r="O356" s="5">
        <f t="shared" si="17"/>
        <v>42.056835429198749</v>
      </c>
      <c r="P356" s="2" t="s">
        <v>69</v>
      </c>
    </row>
    <row r="357" spans="1:16" x14ac:dyDescent="0.2">
      <c r="A357" s="2" t="s">
        <v>666</v>
      </c>
      <c r="B357" s="2" t="s">
        <v>152</v>
      </c>
      <c r="C357" s="2" t="s">
        <v>32</v>
      </c>
      <c r="D357" s="2" t="s">
        <v>32</v>
      </c>
      <c r="E357" s="2" t="s">
        <v>114</v>
      </c>
      <c r="F357" s="2" t="s">
        <v>21</v>
      </c>
      <c r="G357" s="2" t="s">
        <v>98</v>
      </c>
      <c r="H357" s="3">
        <v>8700</v>
      </c>
      <c r="I357" s="4">
        <v>15</v>
      </c>
      <c r="J357" s="5">
        <v>4.8899999999999997</v>
      </c>
      <c r="K357" s="4">
        <v>80</v>
      </c>
      <c r="L357" s="3">
        <f t="shared" si="15"/>
        <v>1739.9999999999995</v>
      </c>
      <c r="M357" s="3">
        <f t="shared" si="16"/>
        <v>54.641244742748896</v>
      </c>
      <c r="N357" s="3">
        <v>140.69999999999999</v>
      </c>
      <c r="O357" s="5">
        <f t="shared" si="17"/>
        <v>38.835284109985004</v>
      </c>
      <c r="P357" s="2" t="s">
        <v>29</v>
      </c>
    </row>
    <row r="358" spans="1:16" x14ac:dyDescent="0.2">
      <c r="A358" s="2" t="s">
        <v>667</v>
      </c>
      <c r="B358" s="2" t="s">
        <v>668</v>
      </c>
      <c r="C358" s="2" t="s">
        <v>39</v>
      </c>
      <c r="D358" s="2" t="s">
        <v>40</v>
      </c>
      <c r="E358" s="2" t="s">
        <v>97</v>
      </c>
      <c r="F358" s="2" t="s">
        <v>28</v>
      </c>
      <c r="G358" s="2" t="s">
        <v>98</v>
      </c>
      <c r="H358" s="3">
        <v>12046</v>
      </c>
      <c r="I358" s="4">
        <v>30</v>
      </c>
      <c r="J358" s="5">
        <v>5.3</v>
      </c>
      <c r="K358" s="4">
        <v>80</v>
      </c>
      <c r="L358" s="3">
        <f t="shared" si="15"/>
        <v>2409.1999999999994</v>
      </c>
      <c r="M358" s="3">
        <f t="shared" si="16"/>
        <v>53.513598742245769</v>
      </c>
      <c r="N358" s="3">
        <v>128.5</v>
      </c>
      <c r="O358" s="5">
        <f t="shared" si="17"/>
        <v>41.644823923926666</v>
      </c>
      <c r="P358" s="2" t="s">
        <v>36</v>
      </c>
    </row>
    <row r="359" spans="1:16" x14ac:dyDescent="0.2">
      <c r="A359" s="2" t="s">
        <v>669</v>
      </c>
      <c r="B359" s="2" t="s">
        <v>602</v>
      </c>
      <c r="C359" s="2" t="s">
        <v>18</v>
      </c>
      <c r="D359" s="2" t="s">
        <v>19</v>
      </c>
      <c r="E359" s="2" t="s">
        <v>156</v>
      </c>
      <c r="F359" s="2" t="s">
        <v>50</v>
      </c>
      <c r="G359" s="2" t="s">
        <v>35</v>
      </c>
      <c r="H359" s="3">
        <v>17489</v>
      </c>
      <c r="I359" s="4">
        <v>30</v>
      </c>
      <c r="J359" s="5">
        <v>4.92</v>
      </c>
      <c r="K359" s="4">
        <v>80</v>
      </c>
      <c r="L359" s="3">
        <f t="shared" si="15"/>
        <v>3497.7999999999993</v>
      </c>
      <c r="M359" s="3">
        <f t="shared" si="16"/>
        <v>74.425212848409473</v>
      </c>
      <c r="N359" s="3">
        <v>229.9</v>
      </c>
      <c r="O359" s="5">
        <f t="shared" si="17"/>
        <v>32.372863352940179</v>
      </c>
      <c r="P359" s="2" t="s">
        <v>36</v>
      </c>
    </row>
    <row r="360" spans="1:16" x14ac:dyDescent="0.2">
      <c r="A360" s="2" t="s">
        <v>670</v>
      </c>
      <c r="B360" s="2" t="s">
        <v>160</v>
      </c>
      <c r="C360" s="2" t="s">
        <v>77</v>
      </c>
      <c r="D360" s="2" t="s">
        <v>19</v>
      </c>
      <c r="E360" s="2" t="s">
        <v>177</v>
      </c>
      <c r="F360" s="2" t="s">
        <v>50</v>
      </c>
      <c r="G360" s="2" t="s">
        <v>98</v>
      </c>
      <c r="H360" s="3">
        <v>3970</v>
      </c>
      <c r="I360" s="4">
        <v>20</v>
      </c>
      <c r="J360" s="5">
        <v>5.4</v>
      </c>
      <c r="K360" s="4">
        <v>80</v>
      </c>
      <c r="L360" s="3">
        <f t="shared" si="15"/>
        <v>793.99999999999977</v>
      </c>
      <c r="M360" s="3">
        <f t="shared" si="16"/>
        <v>21.668310508282524</v>
      </c>
      <c r="N360" s="3">
        <v>44.4</v>
      </c>
      <c r="O360" s="5">
        <f t="shared" si="17"/>
        <v>48.802501144780457</v>
      </c>
      <c r="P360" s="2" t="s">
        <v>29</v>
      </c>
    </row>
    <row r="361" spans="1:16" x14ac:dyDescent="0.2">
      <c r="A361" s="2" t="s">
        <v>671</v>
      </c>
      <c r="B361" s="2" t="s">
        <v>246</v>
      </c>
      <c r="C361" s="2" t="s">
        <v>39</v>
      </c>
      <c r="D361" s="2" t="s">
        <v>40</v>
      </c>
      <c r="E361" s="2" t="s">
        <v>78</v>
      </c>
      <c r="F361" s="2" t="s">
        <v>34</v>
      </c>
      <c r="G361" s="2" t="s">
        <v>44</v>
      </c>
      <c r="H361" s="3">
        <v>12479</v>
      </c>
      <c r="I361" s="4">
        <v>20</v>
      </c>
      <c r="J361" s="5">
        <v>4.53</v>
      </c>
      <c r="K361" s="4">
        <v>80</v>
      </c>
      <c r="L361" s="3">
        <f t="shared" si="15"/>
        <v>2495.7999999999993</v>
      </c>
      <c r="M361" s="3">
        <f t="shared" si="16"/>
        <v>63.320432828179918</v>
      </c>
      <c r="N361" s="3">
        <v>197.9</v>
      </c>
      <c r="O361" s="5">
        <f t="shared" si="17"/>
        <v>31.996176264871107</v>
      </c>
      <c r="P361" s="2" t="s">
        <v>36</v>
      </c>
    </row>
    <row r="362" spans="1:16" x14ac:dyDescent="0.2">
      <c r="A362" s="2" t="s">
        <v>672</v>
      </c>
      <c r="B362" s="2" t="s">
        <v>388</v>
      </c>
      <c r="C362" s="2" t="s">
        <v>84</v>
      </c>
      <c r="D362" s="2" t="s">
        <v>85</v>
      </c>
      <c r="E362" s="2" t="s">
        <v>78</v>
      </c>
      <c r="F362" s="2" t="s">
        <v>21</v>
      </c>
      <c r="G362" s="2" t="s">
        <v>35</v>
      </c>
      <c r="H362" s="3">
        <v>13904</v>
      </c>
      <c r="I362" s="4">
        <v>25</v>
      </c>
      <c r="J362" s="5">
        <v>5.4</v>
      </c>
      <c r="K362" s="4">
        <v>85</v>
      </c>
      <c r="L362" s="3">
        <f t="shared" si="15"/>
        <v>2085.6000000000004</v>
      </c>
      <c r="M362" s="3">
        <f t="shared" si="16"/>
        <v>71.871226158971197</v>
      </c>
      <c r="N362" s="3">
        <v>169.7</v>
      </c>
      <c r="O362" s="5">
        <f t="shared" si="17"/>
        <v>42.351930559205186</v>
      </c>
      <c r="P362" s="2" t="s">
        <v>36</v>
      </c>
    </row>
    <row r="363" spans="1:16" x14ac:dyDescent="0.2">
      <c r="A363" s="2" t="s">
        <v>673</v>
      </c>
      <c r="B363" s="2" t="s">
        <v>438</v>
      </c>
      <c r="C363" s="2" t="s">
        <v>131</v>
      </c>
      <c r="D363" s="2" t="s">
        <v>27</v>
      </c>
      <c r="E363" s="2" t="s">
        <v>41</v>
      </c>
      <c r="F363" s="2" t="s">
        <v>34</v>
      </c>
      <c r="G363" s="2" t="s">
        <v>22</v>
      </c>
      <c r="H363" s="3">
        <v>13387</v>
      </c>
      <c r="I363" s="4">
        <v>15</v>
      </c>
      <c r="J363" s="5">
        <v>5.73</v>
      </c>
      <c r="K363" s="4">
        <v>70</v>
      </c>
      <c r="L363" s="3">
        <f t="shared" si="15"/>
        <v>4016.1000000000008</v>
      </c>
      <c r="M363" s="3">
        <f t="shared" si="16"/>
        <v>77.716577629256932</v>
      </c>
      <c r="N363" s="3">
        <v>142.80000000000001</v>
      </c>
      <c r="O363" s="5">
        <f t="shared" si="17"/>
        <v>54.423373689955831</v>
      </c>
      <c r="P363" s="2" t="s">
        <v>36</v>
      </c>
    </row>
    <row r="364" spans="1:16" x14ac:dyDescent="0.2">
      <c r="A364" s="2" t="s">
        <v>674</v>
      </c>
      <c r="B364" s="2" t="s">
        <v>372</v>
      </c>
      <c r="C364" s="2" t="s">
        <v>72</v>
      </c>
      <c r="D364" s="2" t="s">
        <v>73</v>
      </c>
      <c r="E364" s="2" t="s">
        <v>156</v>
      </c>
      <c r="F364" s="2" t="s">
        <v>28</v>
      </c>
      <c r="G364" s="2" t="s">
        <v>22</v>
      </c>
      <c r="H364" s="3">
        <v>9155</v>
      </c>
      <c r="I364" s="4">
        <v>25</v>
      </c>
      <c r="J364" s="5">
        <v>5.24</v>
      </c>
      <c r="K364" s="4">
        <v>90</v>
      </c>
      <c r="L364" s="3">
        <f t="shared" si="15"/>
        <v>915.49999999999977</v>
      </c>
      <c r="M364" s="3">
        <f t="shared" si="16"/>
        <v>49.326417038640933</v>
      </c>
      <c r="N364" s="3">
        <v>136.30000000000001</v>
      </c>
      <c r="O364" s="5">
        <f t="shared" si="17"/>
        <v>36.189594305679329</v>
      </c>
      <c r="P364" s="2" t="s">
        <v>69</v>
      </c>
    </row>
    <row r="365" spans="1:16" x14ac:dyDescent="0.2">
      <c r="A365" s="2" t="s">
        <v>675</v>
      </c>
      <c r="B365" s="2" t="s">
        <v>94</v>
      </c>
      <c r="C365" s="2" t="s">
        <v>131</v>
      </c>
      <c r="D365" s="2" t="s">
        <v>27</v>
      </c>
      <c r="E365" s="2" t="s">
        <v>74</v>
      </c>
      <c r="F365" s="2" t="s">
        <v>50</v>
      </c>
      <c r="G365" s="2" t="s">
        <v>35</v>
      </c>
      <c r="H365" s="3">
        <v>17826</v>
      </c>
      <c r="I365" s="4">
        <v>20</v>
      </c>
      <c r="J365" s="5">
        <v>4.5999999999999996</v>
      </c>
      <c r="K365" s="4">
        <v>90</v>
      </c>
      <c r="L365" s="3">
        <f t="shared" si="15"/>
        <v>1782.5999999999997</v>
      </c>
      <c r="M365" s="3">
        <f t="shared" si="16"/>
        <v>102.36652402060193</v>
      </c>
      <c r="N365" s="3">
        <v>248.9</v>
      </c>
      <c r="O365" s="5">
        <f t="shared" si="17"/>
        <v>41.127570920290047</v>
      </c>
      <c r="P365" s="2" t="s">
        <v>23</v>
      </c>
    </row>
    <row r="366" spans="1:16" x14ac:dyDescent="0.2">
      <c r="A366" s="2" t="s">
        <v>676</v>
      </c>
      <c r="B366" s="2" t="s">
        <v>520</v>
      </c>
      <c r="C366" s="2" t="s">
        <v>32</v>
      </c>
      <c r="D366" s="2" t="s">
        <v>32</v>
      </c>
      <c r="E366" s="2" t="s">
        <v>177</v>
      </c>
      <c r="F366" s="2" t="s">
        <v>34</v>
      </c>
      <c r="G366" s="2" t="s">
        <v>35</v>
      </c>
      <c r="H366" s="3">
        <v>14949</v>
      </c>
      <c r="I366" s="4">
        <v>20</v>
      </c>
      <c r="J366" s="5">
        <v>5.67</v>
      </c>
      <c r="K366" s="4">
        <v>70</v>
      </c>
      <c r="L366" s="3">
        <f t="shared" si="15"/>
        <v>4484.7000000000007</v>
      </c>
      <c r="M366" s="3">
        <f t="shared" si="16"/>
        <v>72.991022154949789</v>
      </c>
      <c r="N366" s="3">
        <v>247.2</v>
      </c>
      <c r="O366" s="5">
        <f t="shared" si="17"/>
        <v>29.527112522228883</v>
      </c>
      <c r="P366" s="2" t="s">
        <v>36</v>
      </c>
    </row>
    <row r="367" spans="1:16" x14ac:dyDescent="0.2">
      <c r="A367" s="2" t="s">
        <v>677</v>
      </c>
      <c r="B367" s="2" t="s">
        <v>678</v>
      </c>
      <c r="C367" s="2" t="s">
        <v>67</v>
      </c>
      <c r="D367" s="2" t="s">
        <v>67</v>
      </c>
      <c r="E367" s="2" t="s">
        <v>97</v>
      </c>
      <c r="F367" s="2" t="s">
        <v>21</v>
      </c>
      <c r="G367" s="2" t="s">
        <v>35</v>
      </c>
      <c r="H367" s="3">
        <v>3408</v>
      </c>
      <c r="I367" s="4">
        <v>30</v>
      </c>
      <c r="J367" s="5">
        <v>4.51</v>
      </c>
      <c r="K367" s="4">
        <v>80</v>
      </c>
      <c r="L367" s="3">
        <f t="shared" si="15"/>
        <v>681.5999999999998</v>
      </c>
      <c r="M367" s="3">
        <f t="shared" si="16"/>
        <v>13.830472665140553</v>
      </c>
      <c r="N367" s="3">
        <v>37.700000000000003</v>
      </c>
      <c r="O367" s="5">
        <f t="shared" si="17"/>
        <v>36.68560388631446</v>
      </c>
      <c r="P367" s="2" t="s">
        <v>69</v>
      </c>
    </row>
    <row r="368" spans="1:16" x14ac:dyDescent="0.2">
      <c r="A368" s="2" t="s">
        <v>679</v>
      </c>
      <c r="B368" s="2" t="s">
        <v>680</v>
      </c>
      <c r="C368" s="2" t="s">
        <v>131</v>
      </c>
      <c r="D368" s="2" t="s">
        <v>27</v>
      </c>
      <c r="E368" s="2" t="s">
        <v>20</v>
      </c>
      <c r="F368" s="2" t="s">
        <v>34</v>
      </c>
      <c r="G368" s="2" t="s">
        <v>98</v>
      </c>
      <c r="H368" s="3">
        <v>16622</v>
      </c>
      <c r="I368" s="4">
        <v>25</v>
      </c>
      <c r="J368" s="5">
        <v>4.9800000000000004</v>
      </c>
      <c r="K368" s="4">
        <v>80</v>
      </c>
      <c r="L368" s="3">
        <f t="shared" si="15"/>
        <v>3324.3999999999992</v>
      </c>
      <c r="M368" s="3">
        <f t="shared" si="16"/>
        <v>77.581573547524187</v>
      </c>
      <c r="N368" s="3">
        <v>266.60000000000002</v>
      </c>
      <c r="O368" s="5">
        <f t="shared" si="17"/>
        <v>29.100365171614474</v>
      </c>
      <c r="P368" s="2" t="s">
        <v>36</v>
      </c>
    </row>
    <row r="369" spans="1:16" x14ac:dyDescent="0.2">
      <c r="A369" s="2" t="s">
        <v>681</v>
      </c>
      <c r="B369" s="2" t="s">
        <v>678</v>
      </c>
      <c r="C369" s="2" t="s">
        <v>26</v>
      </c>
      <c r="D369" s="2" t="s">
        <v>27</v>
      </c>
      <c r="E369" s="2" t="s">
        <v>97</v>
      </c>
      <c r="F369" s="2" t="s">
        <v>59</v>
      </c>
      <c r="G369" s="2" t="s">
        <v>44</v>
      </c>
      <c r="H369" s="3">
        <v>4319</v>
      </c>
      <c r="I369" s="4">
        <v>30</v>
      </c>
      <c r="J369" s="5">
        <v>5.73</v>
      </c>
      <c r="K369" s="4">
        <v>70</v>
      </c>
      <c r="L369" s="3">
        <f t="shared" si="15"/>
        <v>1295.7000000000003</v>
      </c>
      <c r="M369" s="3">
        <f t="shared" si="16"/>
        <v>17.604765160585764</v>
      </c>
      <c r="N369" s="3">
        <v>48.3</v>
      </c>
      <c r="O369" s="5">
        <f t="shared" si="17"/>
        <v>36.44878915235148</v>
      </c>
      <c r="P369" s="2" t="s">
        <v>36</v>
      </c>
    </row>
    <row r="370" spans="1:16" x14ac:dyDescent="0.2">
      <c r="A370" s="2" t="s">
        <v>682</v>
      </c>
      <c r="B370" s="2" t="s">
        <v>128</v>
      </c>
      <c r="C370" s="2" t="s">
        <v>146</v>
      </c>
      <c r="D370" s="2" t="s">
        <v>19</v>
      </c>
      <c r="E370" s="2" t="s">
        <v>64</v>
      </c>
      <c r="F370" s="2" t="s">
        <v>50</v>
      </c>
      <c r="G370" s="2" t="s">
        <v>44</v>
      </c>
      <c r="H370" s="3">
        <v>10709</v>
      </c>
      <c r="I370" s="4">
        <v>15</v>
      </c>
      <c r="J370" s="5">
        <v>4.51</v>
      </c>
      <c r="K370" s="4">
        <v>80</v>
      </c>
      <c r="L370" s="3">
        <f t="shared" si="15"/>
        <v>2141.7999999999997</v>
      </c>
      <c r="M370" s="3">
        <f t="shared" si="16"/>
        <v>65.582298295522207</v>
      </c>
      <c r="N370" s="3">
        <v>141</v>
      </c>
      <c r="O370" s="5">
        <f t="shared" si="17"/>
        <v>46.512268294696604</v>
      </c>
      <c r="P370" s="2" t="s">
        <v>36</v>
      </c>
    </row>
    <row r="371" spans="1:16" x14ac:dyDescent="0.2">
      <c r="A371" s="2" t="s">
        <v>683</v>
      </c>
      <c r="B371" s="2" t="s">
        <v>684</v>
      </c>
      <c r="C371" s="2" t="s">
        <v>100</v>
      </c>
      <c r="D371" s="2" t="s">
        <v>32</v>
      </c>
      <c r="E371" s="2" t="s">
        <v>97</v>
      </c>
      <c r="F371" s="2" t="s">
        <v>28</v>
      </c>
      <c r="G371" s="2" t="s">
        <v>98</v>
      </c>
      <c r="H371" s="3">
        <v>9222</v>
      </c>
      <c r="I371" s="4">
        <v>25</v>
      </c>
      <c r="J371" s="5">
        <v>4.59</v>
      </c>
      <c r="K371" s="4">
        <v>90</v>
      </c>
      <c r="L371" s="3">
        <f t="shared" si="15"/>
        <v>922.19999999999982</v>
      </c>
      <c r="M371" s="3">
        <f t="shared" si="16"/>
        <v>46.557996108034096</v>
      </c>
      <c r="N371" s="3">
        <v>124.8</v>
      </c>
      <c r="O371" s="5">
        <f t="shared" si="17"/>
        <v>37.306086625027326</v>
      </c>
      <c r="P371" s="2" t="s">
        <v>23</v>
      </c>
    </row>
    <row r="372" spans="1:16" x14ac:dyDescent="0.2">
      <c r="A372" s="2" t="s">
        <v>685</v>
      </c>
      <c r="B372" s="2" t="s">
        <v>686</v>
      </c>
      <c r="C372" s="2" t="s">
        <v>153</v>
      </c>
      <c r="D372" s="2" t="s">
        <v>19</v>
      </c>
      <c r="E372" s="2" t="s">
        <v>49</v>
      </c>
      <c r="F372" s="2" t="s">
        <v>28</v>
      </c>
      <c r="G372" s="2" t="s">
        <v>22</v>
      </c>
      <c r="H372" s="3">
        <v>12349</v>
      </c>
      <c r="I372" s="4">
        <v>15</v>
      </c>
      <c r="J372" s="5">
        <v>5.41</v>
      </c>
      <c r="K372" s="4">
        <v>80</v>
      </c>
      <c r="L372" s="3">
        <f t="shared" si="15"/>
        <v>2469.7999999999993</v>
      </c>
      <c r="M372" s="3">
        <f t="shared" si="16"/>
        <v>80.250265118775033</v>
      </c>
      <c r="N372" s="3">
        <v>185.2</v>
      </c>
      <c r="O372" s="5">
        <f t="shared" si="17"/>
        <v>43.331676630008118</v>
      </c>
      <c r="P372" s="2" t="s">
        <v>36</v>
      </c>
    </row>
    <row r="373" spans="1:16" x14ac:dyDescent="0.2">
      <c r="A373" s="2" t="s">
        <v>687</v>
      </c>
      <c r="B373" s="2" t="s">
        <v>528</v>
      </c>
      <c r="C373" s="2" t="s">
        <v>62</v>
      </c>
      <c r="D373" s="2" t="s">
        <v>63</v>
      </c>
      <c r="E373" s="2" t="s">
        <v>156</v>
      </c>
      <c r="F373" s="2" t="s">
        <v>28</v>
      </c>
      <c r="G373" s="2" t="s">
        <v>35</v>
      </c>
      <c r="H373" s="3">
        <v>1707</v>
      </c>
      <c r="I373" s="4">
        <v>25</v>
      </c>
      <c r="J373" s="5">
        <v>4.03</v>
      </c>
      <c r="K373" s="4">
        <v>80</v>
      </c>
      <c r="L373" s="3">
        <f t="shared" si="15"/>
        <v>341.39999999999992</v>
      </c>
      <c r="M373" s="3">
        <f t="shared" si="16"/>
        <v>7.2307797758781769</v>
      </c>
      <c r="N373" s="3">
        <v>23.2</v>
      </c>
      <c r="O373" s="5">
        <f t="shared" si="17"/>
        <v>31.167154206371457</v>
      </c>
      <c r="P373" s="2" t="s">
        <v>36</v>
      </c>
    </row>
    <row r="374" spans="1:16" x14ac:dyDescent="0.2">
      <c r="A374" s="2" t="s">
        <v>688</v>
      </c>
      <c r="B374" s="2" t="s">
        <v>689</v>
      </c>
      <c r="C374" s="2" t="s">
        <v>131</v>
      </c>
      <c r="D374" s="2" t="s">
        <v>27</v>
      </c>
      <c r="E374" s="2" t="s">
        <v>78</v>
      </c>
      <c r="F374" s="2" t="s">
        <v>21</v>
      </c>
      <c r="G374" s="2" t="s">
        <v>44</v>
      </c>
      <c r="H374" s="3">
        <v>5410</v>
      </c>
      <c r="I374" s="4">
        <v>15</v>
      </c>
      <c r="J374" s="5">
        <v>4.34</v>
      </c>
      <c r="K374" s="4">
        <v>80</v>
      </c>
      <c r="L374" s="3">
        <f t="shared" si="15"/>
        <v>1081.9999999999998</v>
      </c>
      <c r="M374" s="3">
        <f t="shared" si="16"/>
        <v>32.756098818422615</v>
      </c>
      <c r="N374" s="3">
        <v>64.5</v>
      </c>
      <c r="O374" s="5">
        <f t="shared" si="17"/>
        <v>50.784649330887774</v>
      </c>
      <c r="P374" s="2" t="s">
        <v>29</v>
      </c>
    </row>
    <row r="375" spans="1:16" x14ac:dyDescent="0.2">
      <c r="A375" s="2" t="s">
        <v>690</v>
      </c>
      <c r="B375" s="2" t="s">
        <v>617</v>
      </c>
      <c r="C375" s="2" t="s">
        <v>32</v>
      </c>
      <c r="D375" s="2" t="s">
        <v>32</v>
      </c>
      <c r="E375" s="2" t="s">
        <v>64</v>
      </c>
      <c r="F375" s="2" t="s">
        <v>28</v>
      </c>
      <c r="G375" s="2" t="s">
        <v>35</v>
      </c>
      <c r="H375" s="3">
        <v>10975</v>
      </c>
      <c r="I375" s="4">
        <v>30</v>
      </c>
      <c r="J375" s="5">
        <v>4.05</v>
      </c>
      <c r="K375" s="4">
        <v>80</v>
      </c>
      <c r="L375" s="3">
        <f t="shared" si="15"/>
        <v>2194.9999999999995</v>
      </c>
      <c r="M375" s="3">
        <f t="shared" si="16"/>
        <v>42.170546437487921</v>
      </c>
      <c r="N375" s="3">
        <v>188.9</v>
      </c>
      <c r="O375" s="5">
        <f t="shared" si="17"/>
        <v>22.324270215716211</v>
      </c>
      <c r="P375" s="2" t="s">
        <v>36</v>
      </c>
    </row>
    <row r="376" spans="1:16" x14ac:dyDescent="0.2">
      <c r="A376" s="2" t="s">
        <v>691</v>
      </c>
      <c r="B376" s="2" t="s">
        <v>692</v>
      </c>
      <c r="C376" s="2" t="s">
        <v>153</v>
      </c>
      <c r="D376" s="2" t="s">
        <v>19</v>
      </c>
      <c r="E376" s="2" t="s">
        <v>74</v>
      </c>
      <c r="F376" s="2" t="s">
        <v>50</v>
      </c>
      <c r="G376" s="2" t="s">
        <v>35</v>
      </c>
      <c r="H376" s="3">
        <v>11508</v>
      </c>
      <c r="I376" s="4">
        <v>20</v>
      </c>
      <c r="J376" s="5">
        <v>4.16</v>
      </c>
      <c r="K376" s="4">
        <v>80</v>
      </c>
      <c r="L376" s="3">
        <f t="shared" si="15"/>
        <v>2301.5999999999995</v>
      </c>
      <c r="M376" s="3">
        <f t="shared" si="16"/>
        <v>56.568207962143866</v>
      </c>
      <c r="N376" s="3">
        <v>163.19999999999999</v>
      </c>
      <c r="O376" s="5">
        <f t="shared" si="17"/>
        <v>34.661892133666591</v>
      </c>
      <c r="P376" s="2" t="s">
        <v>36</v>
      </c>
    </row>
    <row r="377" spans="1:16" x14ac:dyDescent="0.2">
      <c r="A377" s="2" t="s">
        <v>693</v>
      </c>
      <c r="B377" s="2" t="s">
        <v>192</v>
      </c>
      <c r="C377" s="2" t="s">
        <v>146</v>
      </c>
      <c r="D377" s="2" t="s">
        <v>19</v>
      </c>
      <c r="E377" s="2" t="s">
        <v>156</v>
      </c>
      <c r="F377" s="2" t="s">
        <v>34</v>
      </c>
      <c r="G377" s="2" t="s">
        <v>44</v>
      </c>
      <c r="H377" s="3">
        <v>7992</v>
      </c>
      <c r="I377" s="4">
        <v>30</v>
      </c>
      <c r="J377" s="5">
        <v>5.58</v>
      </c>
      <c r="K377" s="4">
        <v>75</v>
      </c>
      <c r="L377" s="3">
        <f t="shared" si="15"/>
        <v>1998</v>
      </c>
      <c r="M377" s="3">
        <f t="shared" si="16"/>
        <v>34.334738353005775</v>
      </c>
      <c r="N377" s="3">
        <v>88.4</v>
      </c>
      <c r="O377" s="5">
        <f t="shared" si="17"/>
        <v>38.84020175679386</v>
      </c>
      <c r="P377" s="2" t="s">
        <v>29</v>
      </c>
    </row>
    <row r="378" spans="1:16" x14ac:dyDescent="0.2">
      <c r="A378" s="2" t="s">
        <v>694</v>
      </c>
      <c r="B378" s="2" t="s">
        <v>604</v>
      </c>
      <c r="C378" s="2" t="s">
        <v>72</v>
      </c>
      <c r="D378" s="2" t="s">
        <v>73</v>
      </c>
      <c r="E378" s="2" t="s">
        <v>33</v>
      </c>
      <c r="F378" s="2" t="s">
        <v>21</v>
      </c>
      <c r="G378" s="2" t="s">
        <v>44</v>
      </c>
      <c r="H378" s="3">
        <v>1504</v>
      </c>
      <c r="I378" s="4">
        <v>25</v>
      </c>
      <c r="J378" s="5">
        <v>4.5</v>
      </c>
      <c r="K378" s="4">
        <v>85</v>
      </c>
      <c r="L378" s="3">
        <f t="shared" si="15"/>
        <v>225.60000000000002</v>
      </c>
      <c r="M378" s="3">
        <f t="shared" si="16"/>
        <v>7.1057623982660676</v>
      </c>
      <c r="N378" s="3">
        <v>24.7</v>
      </c>
      <c r="O378" s="5">
        <f t="shared" si="17"/>
        <v>28.768268818890963</v>
      </c>
      <c r="P378" s="2" t="s">
        <v>36</v>
      </c>
    </row>
    <row r="379" spans="1:16" x14ac:dyDescent="0.2">
      <c r="A379" s="2" t="s">
        <v>695</v>
      </c>
      <c r="B379" s="2" t="s">
        <v>696</v>
      </c>
      <c r="C379" s="2" t="s">
        <v>53</v>
      </c>
      <c r="D379" s="2" t="s">
        <v>19</v>
      </c>
      <c r="E379" s="2" t="s">
        <v>97</v>
      </c>
      <c r="F379" s="2" t="s">
        <v>50</v>
      </c>
      <c r="G379" s="2" t="s">
        <v>35</v>
      </c>
      <c r="H379" s="3">
        <v>17197</v>
      </c>
      <c r="I379" s="4">
        <v>30</v>
      </c>
      <c r="J379" s="5">
        <v>4.78</v>
      </c>
      <c r="K379" s="4">
        <v>75</v>
      </c>
      <c r="L379" s="3">
        <f t="shared" si="15"/>
        <v>4299.25</v>
      </c>
      <c r="M379" s="3">
        <f t="shared" si="16"/>
        <v>67.514192058531975</v>
      </c>
      <c r="N379" s="3">
        <v>257.3</v>
      </c>
      <c r="O379" s="5">
        <f t="shared" si="17"/>
        <v>26.239483893716276</v>
      </c>
      <c r="P379" s="2" t="s">
        <v>36</v>
      </c>
    </row>
    <row r="380" spans="1:16" x14ac:dyDescent="0.2">
      <c r="A380" s="2" t="s">
        <v>697</v>
      </c>
      <c r="B380" s="2" t="s">
        <v>612</v>
      </c>
      <c r="C380" s="2" t="s">
        <v>18</v>
      </c>
      <c r="D380" s="2" t="s">
        <v>19</v>
      </c>
      <c r="E380" s="2" t="s">
        <v>156</v>
      </c>
      <c r="F380" s="2" t="s">
        <v>34</v>
      </c>
      <c r="G380" s="2" t="s">
        <v>44</v>
      </c>
      <c r="H380" s="3">
        <v>9961</v>
      </c>
      <c r="I380" s="4">
        <v>20</v>
      </c>
      <c r="J380" s="5">
        <v>4.74</v>
      </c>
      <c r="K380" s="4">
        <v>85</v>
      </c>
      <c r="L380" s="3">
        <f t="shared" si="15"/>
        <v>1494.1500000000003</v>
      </c>
      <c r="M380" s="3">
        <f t="shared" si="16"/>
        <v>54.668555291680931</v>
      </c>
      <c r="N380" s="3">
        <v>160.30000000000001</v>
      </c>
      <c r="O380" s="5">
        <f t="shared" si="17"/>
        <v>34.103902240599453</v>
      </c>
      <c r="P380" s="2" t="s">
        <v>36</v>
      </c>
    </row>
    <row r="381" spans="1:16" x14ac:dyDescent="0.2">
      <c r="A381" s="2" t="s">
        <v>698</v>
      </c>
      <c r="B381" s="2" t="s">
        <v>630</v>
      </c>
      <c r="C381" s="2" t="s">
        <v>146</v>
      </c>
      <c r="D381" s="2" t="s">
        <v>19</v>
      </c>
      <c r="E381" s="2" t="s">
        <v>81</v>
      </c>
      <c r="F381" s="2" t="s">
        <v>59</v>
      </c>
      <c r="G381" s="2" t="s">
        <v>98</v>
      </c>
      <c r="H381" s="3">
        <v>9462</v>
      </c>
      <c r="I381" s="4">
        <v>30</v>
      </c>
      <c r="J381" s="5">
        <v>4.4000000000000004</v>
      </c>
      <c r="K381" s="4">
        <v>85</v>
      </c>
      <c r="L381" s="3">
        <f t="shared" si="15"/>
        <v>1419.3000000000002</v>
      </c>
      <c r="M381" s="3">
        <f t="shared" si="16"/>
        <v>40.274697724611677</v>
      </c>
      <c r="N381" s="3">
        <v>171.6</v>
      </c>
      <c r="O381" s="5">
        <f t="shared" si="17"/>
        <v>23.470103569121026</v>
      </c>
      <c r="P381" s="2" t="s">
        <v>36</v>
      </c>
    </row>
    <row r="382" spans="1:16" x14ac:dyDescent="0.2">
      <c r="A382" s="2" t="s">
        <v>699</v>
      </c>
      <c r="B382" s="2" t="s">
        <v>497</v>
      </c>
      <c r="C382" s="2" t="s">
        <v>175</v>
      </c>
      <c r="D382" s="2" t="s">
        <v>176</v>
      </c>
      <c r="E382" s="2" t="s">
        <v>20</v>
      </c>
      <c r="F382" s="2" t="s">
        <v>34</v>
      </c>
      <c r="G382" s="2" t="s">
        <v>22</v>
      </c>
      <c r="H382" s="3">
        <v>13115</v>
      </c>
      <c r="I382" s="4">
        <v>30</v>
      </c>
      <c r="J382" s="5">
        <v>4.84</v>
      </c>
      <c r="K382" s="4">
        <v>70</v>
      </c>
      <c r="L382" s="3">
        <f t="shared" si="15"/>
        <v>3934.5000000000005</v>
      </c>
      <c r="M382" s="3">
        <f t="shared" si="16"/>
        <v>48.389117211904114</v>
      </c>
      <c r="N382" s="3">
        <v>223.6</v>
      </c>
      <c r="O382" s="5">
        <f t="shared" si="17"/>
        <v>21.640928985645846</v>
      </c>
      <c r="P382" s="2" t="s">
        <v>36</v>
      </c>
    </row>
    <row r="383" spans="1:16" x14ac:dyDescent="0.2">
      <c r="A383" s="2" t="s">
        <v>700</v>
      </c>
      <c r="B383" s="2" t="s">
        <v>612</v>
      </c>
      <c r="C383" s="2" t="s">
        <v>153</v>
      </c>
      <c r="D383" s="2" t="s">
        <v>19</v>
      </c>
      <c r="E383" s="2" t="s">
        <v>58</v>
      </c>
      <c r="F383" s="2" t="s">
        <v>28</v>
      </c>
      <c r="G383" s="2" t="s">
        <v>35</v>
      </c>
      <c r="H383" s="3">
        <v>15946</v>
      </c>
      <c r="I383" s="4">
        <v>15</v>
      </c>
      <c r="J383" s="5">
        <v>4.8499999999999996</v>
      </c>
      <c r="K383" s="4">
        <v>70</v>
      </c>
      <c r="L383" s="3">
        <f t="shared" si="15"/>
        <v>4783.8000000000011</v>
      </c>
      <c r="M383" s="3">
        <f t="shared" si="16"/>
        <v>87.400234764502187</v>
      </c>
      <c r="N383" s="3">
        <v>236.5</v>
      </c>
      <c r="O383" s="5">
        <f t="shared" si="17"/>
        <v>36.955701803172168</v>
      </c>
      <c r="P383" s="2" t="s">
        <v>69</v>
      </c>
    </row>
    <row r="384" spans="1:16" x14ac:dyDescent="0.2">
      <c r="A384" s="2" t="s">
        <v>701</v>
      </c>
      <c r="B384" s="2" t="s">
        <v>411</v>
      </c>
      <c r="C384" s="2" t="s">
        <v>67</v>
      </c>
      <c r="D384" s="2" t="s">
        <v>67</v>
      </c>
      <c r="E384" s="2" t="s">
        <v>156</v>
      </c>
      <c r="F384" s="2" t="s">
        <v>21</v>
      </c>
      <c r="G384" s="2" t="s">
        <v>22</v>
      </c>
      <c r="H384" s="3">
        <v>14928</v>
      </c>
      <c r="I384" s="4">
        <v>20</v>
      </c>
      <c r="J384" s="5">
        <v>4.3899999999999997</v>
      </c>
      <c r="K384" s="4">
        <v>80</v>
      </c>
      <c r="L384" s="3">
        <f t="shared" si="15"/>
        <v>2985.5999999999995</v>
      </c>
      <c r="M384" s="3">
        <f t="shared" si="16"/>
        <v>74.846257225055567</v>
      </c>
      <c r="N384" s="3">
        <v>242.5</v>
      </c>
      <c r="O384" s="5">
        <f t="shared" si="17"/>
        <v>30.864435969095076</v>
      </c>
      <c r="P384" s="2" t="s">
        <v>36</v>
      </c>
    </row>
    <row r="385" spans="1:16" x14ac:dyDescent="0.2">
      <c r="A385" s="2" t="s">
        <v>702</v>
      </c>
      <c r="B385" s="2" t="s">
        <v>493</v>
      </c>
      <c r="C385" s="2" t="s">
        <v>84</v>
      </c>
      <c r="D385" s="2" t="s">
        <v>85</v>
      </c>
      <c r="E385" s="2" t="s">
        <v>177</v>
      </c>
      <c r="F385" s="2" t="s">
        <v>34</v>
      </c>
      <c r="G385" s="2" t="s">
        <v>22</v>
      </c>
      <c r="H385" s="3">
        <v>8374</v>
      </c>
      <c r="I385" s="4">
        <v>20</v>
      </c>
      <c r="J385" s="5">
        <v>5.32</v>
      </c>
      <c r="K385" s="4">
        <v>70</v>
      </c>
      <c r="L385" s="3">
        <f t="shared" si="15"/>
        <v>2512.2000000000003</v>
      </c>
      <c r="M385" s="3">
        <f t="shared" si="16"/>
        <v>39.728977942843322</v>
      </c>
      <c r="N385" s="3">
        <v>97.8</v>
      </c>
      <c r="O385" s="5">
        <f t="shared" si="17"/>
        <v>40.622676833173131</v>
      </c>
      <c r="P385" s="2" t="s">
        <v>69</v>
      </c>
    </row>
    <row r="386" spans="1:16" x14ac:dyDescent="0.2">
      <c r="A386" s="2" t="s">
        <v>703</v>
      </c>
      <c r="B386" s="2" t="s">
        <v>413</v>
      </c>
      <c r="C386" s="2" t="s">
        <v>39</v>
      </c>
      <c r="D386" s="2" t="s">
        <v>40</v>
      </c>
      <c r="E386" s="2" t="s">
        <v>68</v>
      </c>
      <c r="F386" s="2" t="s">
        <v>21</v>
      </c>
      <c r="G386" s="2" t="s">
        <v>98</v>
      </c>
      <c r="H386" s="3">
        <v>10475</v>
      </c>
      <c r="I386" s="4">
        <v>30</v>
      </c>
      <c r="J386" s="5">
        <v>5.66</v>
      </c>
      <c r="K386" s="4">
        <v>90</v>
      </c>
      <c r="L386" s="3">
        <f t="shared" ref="L386:L449" si="18">H386*(1-K386/100)</f>
        <v>1047.4999999999998</v>
      </c>
      <c r="M386" s="3">
        <f t="shared" ref="M386:M449" si="19">PMT(J386/100/12, I386*12, -(H386*K386/100))</f>
        <v>54.478514382676721</v>
      </c>
      <c r="N386" s="3">
        <v>144.30000000000001</v>
      </c>
      <c r="O386" s="5">
        <f t="shared" ref="O386:O449" si="20">IFERROR(M386/N386*100,0)</f>
        <v>37.753648220843182</v>
      </c>
      <c r="P386" s="2" t="s">
        <v>29</v>
      </c>
    </row>
    <row r="387" spans="1:16" x14ac:dyDescent="0.2">
      <c r="A387" s="2" t="s">
        <v>704</v>
      </c>
      <c r="B387" s="2" t="s">
        <v>257</v>
      </c>
      <c r="C387" s="2" t="s">
        <v>119</v>
      </c>
      <c r="D387" s="2" t="s">
        <v>120</v>
      </c>
      <c r="E387" s="2" t="s">
        <v>97</v>
      </c>
      <c r="F387" s="2" t="s">
        <v>59</v>
      </c>
      <c r="G387" s="2" t="s">
        <v>22</v>
      </c>
      <c r="H387" s="3">
        <v>14239</v>
      </c>
      <c r="I387" s="4">
        <v>30</v>
      </c>
      <c r="J387" s="5">
        <v>4.7300000000000004</v>
      </c>
      <c r="K387" s="4">
        <v>80</v>
      </c>
      <c r="L387" s="3">
        <f t="shared" si="18"/>
        <v>2847.7999999999993</v>
      </c>
      <c r="M387" s="3">
        <f t="shared" si="19"/>
        <v>59.284646607867465</v>
      </c>
      <c r="N387" s="3">
        <v>219.5</v>
      </c>
      <c r="O387" s="5">
        <f t="shared" si="20"/>
        <v>27.008950618618432</v>
      </c>
      <c r="P387" s="2" t="s">
        <v>36</v>
      </c>
    </row>
    <row r="388" spans="1:16" x14ac:dyDescent="0.2">
      <c r="A388" s="2" t="s">
        <v>705</v>
      </c>
      <c r="B388" s="2" t="s">
        <v>706</v>
      </c>
      <c r="C388" s="2" t="s">
        <v>67</v>
      </c>
      <c r="D388" s="2" t="s">
        <v>67</v>
      </c>
      <c r="E388" s="2" t="s">
        <v>78</v>
      </c>
      <c r="F388" s="2" t="s">
        <v>34</v>
      </c>
      <c r="G388" s="2" t="s">
        <v>35</v>
      </c>
      <c r="H388" s="3">
        <v>9593</v>
      </c>
      <c r="I388" s="4">
        <v>25</v>
      </c>
      <c r="J388" s="5">
        <v>4.01</v>
      </c>
      <c r="K388" s="4">
        <v>85</v>
      </c>
      <c r="L388" s="3">
        <f t="shared" si="18"/>
        <v>1438.9500000000003</v>
      </c>
      <c r="M388" s="3">
        <f t="shared" si="19"/>
        <v>43.085115577521826</v>
      </c>
      <c r="N388" s="3">
        <v>121.3</v>
      </c>
      <c r="O388" s="5">
        <f t="shared" si="20"/>
        <v>35.519468736621455</v>
      </c>
      <c r="P388" s="2" t="s">
        <v>36</v>
      </c>
    </row>
    <row r="389" spans="1:16" x14ac:dyDescent="0.2">
      <c r="A389" s="2" t="s">
        <v>707</v>
      </c>
      <c r="B389" s="2" t="s">
        <v>580</v>
      </c>
      <c r="C389" s="2" t="s">
        <v>72</v>
      </c>
      <c r="D389" s="2" t="s">
        <v>73</v>
      </c>
      <c r="E389" s="2" t="s">
        <v>20</v>
      </c>
      <c r="F389" s="2" t="s">
        <v>34</v>
      </c>
      <c r="G389" s="2" t="s">
        <v>22</v>
      </c>
      <c r="H389" s="3">
        <v>7278</v>
      </c>
      <c r="I389" s="4">
        <v>25</v>
      </c>
      <c r="J389" s="5">
        <v>5.09</v>
      </c>
      <c r="K389" s="4">
        <v>80</v>
      </c>
      <c r="L389" s="3">
        <f t="shared" si="18"/>
        <v>1455.5999999999997</v>
      </c>
      <c r="M389" s="3">
        <f t="shared" si="19"/>
        <v>34.3431726544923</v>
      </c>
      <c r="N389" s="3">
        <v>87.9</v>
      </c>
      <c r="O389" s="5">
        <f t="shared" si="20"/>
        <v>39.070731120013988</v>
      </c>
      <c r="P389" s="2" t="s">
        <v>36</v>
      </c>
    </row>
    <row r="390" spans="1:16" x14ac:dyDescent="0.2">
      <c r="A390" s="2" t="s">
        <v>708</v>
      </c>
      <c r="B390" s="2" t="s">
        <v>305</v>
      </c>
      <c r="C390" s="2" t="s">
        <v>72</v>
      </c>
      <c r="D390" s="2" t="s">
        <v>73</v>
      </c>
      <c r="E390" s="2" t="s">
        <v>114</v>
      </c>
      <c r="F390" s="2" t="s">
        <v>34</v>
      </c>
      <c r="G390" s="2" t="s">
        <v>98</v>
      </c>
      <c r="H390" s="3">
        <v>3922</v>
      </c>
      <c r="I390" s="4">
        <v>30</v>
      </c>
      <c r="J390" s="5">
        <v>5.3</v>
      </c>
      <c r="K390" s="4">
        <v>80</v>
      </c>
      <c r="L390" s="3">
        <f t="shared" si="18"/>
        <v>784.39999999999986</v>
      </c>
      <c r="M390" s="3">
        <f t="shared" si="19"/>
        <v>17.423238773625098</v>
      </c>
      <c r="N390" s="3">
        <v>43.4</v>
      </c>
      <c r="O390" s="5">
        <f t="shared" si="20"/>
        <v>40.145711459965668</v>
      </c>
      <c r="P390" s="2" t="s">
        <v>36</v>
      </c>
    </row>
    <row r="391" spans="1:16" x14ac:dyDescent="0.2">
      <c r="A391" s="2" t="s">
        <v>709</v>
      </c>
      <c r="B391" s="2" t="s">
        <v>334</v>
      </c>
      <c r="C391" s="2" t="s">
        <v>62</v>
      </c>
      <c r="D391" s="2" t="s">
        <v>63</v>
      </c>
      <c r="E391" s="2" t="s">
        <v>107</v>
      </c>
      <c r="F391" s="2" t="s">
        <v>34</v>
      </c>
      <c r="G391" s="2" t="s">
        <v>44</v>
      </c>
      <c r="H391" s="3">
        <v>14439</v>
      </c>
      <c r="I391" s="4">
        <v>20</v>
      </c>
      <c r="J391" s="5">
        <v>5.65</v>
      </c>
      <c r="K391" s="4">
        <v>80</v>
      </c>
      <c r="L391" s="3">
        <f t="shared" si="18"/>
        <v>2887.7999999999993</v>
      </c>
      <c r="M391" s="3">
        <f t="shared" si="19"/>
        <v>80.441028462749188</v>
      </c>
      <c r="N391" s="3">
        <v>196.9</v>
      </c>
      <c r="O391" s="5">
        <f t="shared" si="20"/>
        <v>40.853747314753271</v>
      </c>
      <c r="P391" s="2" t="s">
        <v>29</v>
      </c>
    </row>
    <row r="392" spans="1:16" x14ac:dyDescent="0.2">
      <c r="A392" s="2" t="s">
        <v>710</v>
      </c>
      <c r="B392" s="2" t="s">
        <v>546</v>
      </c>
      <c r="C392" s="2" t="s">
        <v>62</v>
      </c>
      <c r="D392" s="2" t="s">
        <v>63</v>
      </c>
      <c r="E392" s="2" t="s">
        <v>64</v>
      </c>
      <c r="F392" s="2" t="s">
        <v>50</v>
      </c>
      <c r="G392" s="2" t="s">
        <v>22</v>
      </c>
      <c r="H392" s="3">
        <v>3604</v>
      </c>
      <c r="I392" s="4">
        <v>30</v>
      </c>
      <c r="J392" s="5">
        <v>4.58</v>
      </c>
      <c r="K392" s="4">
        <v>85</v>
      </c>
      <c r="L392" s="3">
        <f t="shared" si="18"/>
        <v>540.60000000000014</v>
      </c>
      <c r="M392" s="3">
        <f t="shared" si="19"/>
        <v>15.667753082165607</v>
      </c>
      <c r="N392" s="3">
        <v>40.6</v>
      </c>
      <c r="O392" s="5">
        <f t="shared" si="20"/>
        <v>38.590524832920217</v>
      </c>
      <c r="P392" s="2" t="s">
        <v>36</v>
      </c>
    </row>
    <row r="393" spans="1:16" x14ac:dyDescent="0.2">
      <c r="A393" s="2" t="s">
        <v>711</v>
      </c>
      <c r="B393" s="2" t="s">
        <v>649</v>
      </c>
      <c r="C393" s="2" t="s">
        <v>53</v>
      </c>
      <c r="D393" s="2" t="s">
        <v>19</v>
      </c>
      <c r="E393" s="2" t="s">
        <v>156</v>
      </c>
      <c r="F393" s="2" t="s">
        <v>59</v>
      </c>
      <c r="G393" s="2" t="s">
        <v>44</v>
      </c>
      <c r="H393" s="3">
        <v>12522</v>
      </c>
      <c r="I393" s="4">
        <v>25</v>
      </c>
      <c r="J393" s="5">
        <v>5</v>
      </c>
      <c r="K393" s="4">
        <v>80</v>
      </c>
      <c r="L393" s="3">
        <f t="shared" si="18"/>
        <v>2504.3999999999996</v>
      </c>
      <c r="M393" s="3">
        <f t="shared" si="19"/>
        <v>58.561891998103313</v>
      </c>
      <c r="N393" s="3">
        <v>182.2</v>
      </c>
      <c r="O393" s="5">
        <f t="shared" si="20"/>
        <v>32.141543357905221</v>
      </c>
      <c r="P393" s="2" t="s">
        <v>29</v>
      </c>
    </row>
    <row r="394" spans="1:16" x14ac:dyDescent="0.2">
      <c r="A394" s="2" t="s">
        <v>712</v>
      </c>
      <c r="B394" s="2" t="s">
        <v>96</v>
      </c>
      <c r="C394" s="2" t="s">
        <v>39</v>
      </c>
      <c r="D394" s="2" t="s">
        <v>40</v>
      </c>
      <c r="E394" s="2" t="s">
        <v>58</v>
      </c>
      <c r="F394" s="2" t="s">
        <v>50</v>
      </c>
      <c r="G394" s="2" t="s">
        <v>98</v>
      </c>
      <c r="H394" s="3">
        <v>12742</v>
      </c>
      <c r="I394" s="4">
        <v>20</v>
      </c>
      <c r="J394" s="5">
        <v>4.72</v>
      </c>
      <c r="K394" s="4">
        <v>80</v>
      </c>
      <c r="L394" s="3">
        <f t="shared" si="18"/>
        <v>2548.3999999999996</v>
      </c>
      <c r="M394" s="3">
        <f t="shared" si="19"/>
        <v>65.706554455064364</v>
      </c>
      <c r="N394" s="3">
        <v>211.2</v>
      </c>
      <c r="O394" s="5">
        <f t="shared" si="20"/>
        <v>31.111057980617595</v>
      </c>
      <c r="P394" s="2" t="s">
        <v>23</v>
      </c>
    </row>
    <row r="395" spans="1:16" x14ac:dyDescent="0.2">
      <c r="A395" s="2" t="s">
        <v>713</v>
      </c>
      <c r="B395" s="2" t="s">
        <v>714</v>
      </c>
      <c r="C395" s="2" t="s">
        <v>77</v>
      </c>
      <c r="D395" s="2" t="s">
        <v>19</v>
      </c>
      <c r="E395" s="2" t="s">
        <v>107</v>
      </c>
      <c r="F395" s="2" t="s">
        <v>34</v>
      </c>
      <c r="G395" s="2" t="s">
        <v>22</v>
      </c>
      <c r="H395" s="3">
        <v>17084</v>
      </c>
      <c r="I395" s="4">
        <v>30</v>
      </c>
      <c r="J395" s="5">
        <v>5.01</v>
      </c>
      <c r="K395" s="4">
        <v>75</v>
      </c>
      <c r="L395" s="3">
        <f t="shared" si="18"/>
        <v>4271</v>
      </c>
      <c r="M395" s="3">
        <f t="shared" si="19"/>
        <v>68.861283456651663</v>
      </c>
      <c r="N395" s="3">
        <v>195.9</v>
      </c>
      <c r="O395" s="5">
        <f t="shared" si="20"/>
        <v>35.15124219328824</v>
      </c>
      <c r="P395" s="2" t="s">
        <v>29</v>
      </c>
    </row>
    <row r="396" spans="1:16" x14ac:dyDescent="0.2">
      <c r="A396" s="2" t="s">
        <v>715</v>
      </c>
      <c r="B396" s="2" t="s">
        <v>668</v>
      </c>
      <c r="C396" s="2" t="s">
        <v>18</v>
      </c>
      <c r="D396" s="2" t="s">
        <v>19</v>
      </c>
      <c r="E396" s="2" t="s">
        <v>74</v>
      </c>
      <c r="F396" s="2" t="s">
        <v>59</v>
      </c>
      <c r="G396" s="2" t="s">
        <v>44</v>
      </c>
      <c r="H396" s="3">
        <v>6204</v>
      </c>
      <c r="I396" s="4">
        <v>30</v>
      </c>
      <c r="J396" s="5">
        <v>5.48</v>
      </c>
      <c r="K396" s="4">
        <v>80</v>
      </c>
      <c r="L396" s="3">
        <f t="shared" si="18"/>
        <v>1240.7999999999997</v>
      </c>
      <c r="M396" s="3">
        <f t="shared" si="19"/>
        <v>28.118255602095655</v>
      </c>
      <c r="N396" s="3">
        <v>70.5</v>
      </c>
      <c r="O396" s="5">
        <f t="shared" si="20"/>
        <v>39.884050499426458</v>
      </c>
      <c r="P396" s="2" t="s">
        <v>36</v>
      </c>
    </row>
    <row r="397" spans="1:16" x14ac:dyDescent="0.2">
      <c r="A397" s="2" t="s">
        <v>716</v>
      </c>
      <c r="B397" s="2" t="s">
        <v>589</v>
      </c>
      <c r="C397" s="2" t="s">
        <v>153</v>
      </c>
      <c r="D397" s="2" t="s">
        <v>19</v>
      </c>
      <c r="E397" s="2" t="s">
        <v>114</v>
      </c>
      <c r="F397" s="2" t="s">
        <v>50</v>
      </c>
      <c r="G397" s="2" t="s">
        <v>44</v>
      </c>
      <c r="H397" s="3">
        <v>7693</v>
      </c>
      <c r="I397" s="4">
        <v>30</v>
      </c>
      <c r="J397" s="5">
        <v>5.05</v>
      </c>
      <c r="K397" s="4">
        <v>70</v>
      </c>
      <c r="L397" s="3">
        <f t="shared" si="18"/>
        <v>2307.9000000000005</v>
      </c>
      <c r="M397" s="3">
        <f t="shared" si="19"/>
        <v>29.073161904802387</v>
      </c>
      <c r="N397" s="3">
        <v>91.6</v>
      </c>
      <c r="O397" s="5">
        <f t="shared" si="20"/>
        <v>31.739259721399986</v>
      </c>
      <c r="P397" s="2" t="s">
        <v>36</v>
      </c>
    </row>
    <row r="398" spans="1:16" x14ac:dyDescent="0.2">
      <c r="A398" s="2" t="s">
        <v>717</v>
      </c>
      <c r="B398" s="2" t="s">
        <v>336</v>
      </c>
      <c r="C398" s="2" t="s">
        <v>153</v>
      </c>
      <c r="D398" s="2" t="s">
        <v>19</v>
      </c>
      <c r="E398" s="2" t="s">
        <v>64</v>
      </c>
      <c r="F398" s="2" t="s">
        <v>59</v>
      </c>
      <c r="G398" s="2" t="s">
        <v>98</v>
      </c>
      <c r="H398" s="3">
        <v>3001</v>
      </c>
      <c r="I398" s="4">
        <v>20</v>
      </c>
      <c r="J398" s="5">
        <v>4.3499999999999996</v>
      </c>
      <c r="K398" s="4">
        <v>90</v>
      </c>
      <c r="L398" s="3">
        <f t="shared" si="18"/>
        <v>300.09999999999991</v>
      </c>
      <c r="M398" s="3">
        <f t="shared" si="19"/>
        <v>16.869314121978576</v>
      </c>
      <c r="N398" s="3">
        <v>50.1</v>
      </c>
      <c r="O398" s="5">
        <f t="shared" si="20"/>
        <v>33.67128567261193</v>
      </c>
      <c r="P398" s="2" t="s">
        <v>29</v>
      </c>
    </row>
    <row r="399" spans="1:16" x14ac:dyDescent="0.2">
      <c r="A399" s="2" t="s">
        <v>718</v>
      </c>
      <c r="B399" s="2" t="s">
        <v>399</v>
      </c>
      <c r="C399" s="2" t="s">
        <v>91</v>
      </c>
      <c r="D399" s="2" t="s">
        <v>92</v>
      </c>
      <c r="E399" s="2" t="s">
        <v>41</v>
      </c>
      <c r="F399" s="2" t="s">
        <v>21</v>
      </c>
      <c r="G399" s="2" t="s">
        <v>44</v>
      </c>
      <c r="H399" s="3">
        <v>7559</v>
      </c>
      <c r="I399" s="4">
        <v>30</v>
      </c>
      <c r="J399" s="5">
        <v>5.26</v>
      </c>
      <c r="K399" s="4">
        <v>70</v>
      </c>
      <c r="L399" s="3">
        <f t="shared" si="18"/>
        <v>2267.7000000000003</v>
      </c>
      <c r="M399" s="3">
        <f t="shared" si="19"/>
        <v>29.25153625943755</v>
      </c>
      <c r="N399" s="3">
        <v>132.80000000000001</v>
      </c>
      <c r="O399" s="5">
        <f t="shared" si="20"/>
        <v>22.02675923150418</v>
      </c>
      <c r="P399" s="2" t="s">
        <v>69</v>
      </c>
    </row>
    <row r="400" spans="1:16" x14ac:dyDescent="0.2">
      <c r="A400" s="2" t="s">
        <v>719</v>
      </c>
      <c r="B400" s="2" t="s">
        <v>659</v>
      </c>
      <c r="C400" s="2" t="s">
        <v>100</v>
      </c>
      <c r="D400" s="2" t="s">
        <v>32</v>
      </c>
      <c r="E400" s="2" t="s">
        <v>68</v>
      </c>
      <c r="F400" s="2" t="s">
        <v>50</v>
      </c>
      <c r="G400" s="2" t="s">
        <v>35</v>
      </c>
      <c r="H400" s="3">
        <v>6683</v>
      </c>
      <c r="I400" s="4">
        <v>15</v>
      </c>
      <c r="J400" s="5">
        <v>5.46</v>
      </c>
      <c r="K400" s="4">
        <v>85</v>
      </c>
      <c r="L400" s="3">
        <f t="shared" si="18"/>
        <v>1002.4500000000002</v>
      </c>
      <c r="M400" s="3">
        <f t="shared" si="19"/>
        <v>46.294346177020209</v>
      </c>
      <c r="N400" s="3">
        <v>91.4</v>
      </c>
      <c r="O400" s="5">
        <f t="shared" si="20"/>
        <v>50.650269340284694</v>
      </c>
      <c r="P400" s="2" t="s">
        <v>36</v>
      </c>
    </row>
    <row r="401" spans="1:16" x14ac:dyDescent="0.2">
      <c r="A401" s="2" t="s">
        <v>720</v>
      </c>
      <c r="B401" s="2" t="s">
        <v>721</v>
      </c>
      <c r="C401" s="2" t="s">
        <v>32</v>
      </c>
      <c r="D401" s="2" t="s">
        <v>32</v>
      </c>
      <c r="E401" s="2" t="s">
        <v>58</v>
      </c>
      <c r="F401" s="2" t="s">
        <v>50</v>
      </c>
      <c r="G401" s="2" t="s">
        <v>98</v>
      </c>
      <c r="H401" s="3">
        <v>6967</v>
      </c>
      <c r="I401" s="4">
        <v>25</v>
      </c>
      <c r="J401" s="5">
        <v>3.99</v>
      </c>
      <c r="K401" s="4">
        <v>90</v>
      </c>
      <c r="L401" s="3">
        <f t="shared" si="18"/>
        <v>696.69999999999982</v>
      </c>
      <c r="M401" s="3">
        <f t="shared" si="19"/>
        <v>33.062341477701665</v>
      </c>
      <c r="N401" s="3">
        <v>73.8</v>
      </c>
      <c r="O401" s="5">
        <f t="shared" si="20"/>
        <v>44.799920701492773</v>
      </c>
      <c r="P401" s="2" t="s">
        <v>36</v>
      </c>
    </row>
    <row r="402" spans="1:16" x14ac:dyDescent="0.2">
      <c r="A402" s="2" t="s">
        <v>722</v>
      </c>
      <c r="B402" s="2" t="s">
        <v>459</v>
      </c>
      <c r="C402" s="2" t="s">
        <v>77</v>
      </c>
      <c r="D402" s="2" t="s">
        <v>19</v>
      </c>
      <c r="E402" s="2" t="s">
        <v>88</v>
      </c>
      <c r="F402" s="2" t="s">
        <v>28</v>
      </c>
      <c r="G402" s="2" t="s">
        <v>44</v>
      </c>
      <c r="H402" s="3">
        <v>10610</v>
      </c>
      <c r="I402" s="4">
        <v>25</v>
      </c>
      <c r="J402" s="5">
        <v>4.24</v>
      </c>
      <c r="K402" s="4">
        <v>75</v>
      </c>
      <c r="L402" s="3">
        <f t="shared" si="18"/>
        <v>2652.5</v>
      </c>
      <c r="M402" s="3">
        <f t="shared" si="19"/>
        <v>43.064265267672305</v>
      </c>
      <c r="N402" s="3">
        <v>117.9</v>
      </c>
      <c r="O402" s="5">
        <f t="shared" si="20"/>
        <v>36.526094374616029</v>
      </c>
      <c r="P402" s="2" t="s">
        <v>23</v>
      </c>
    </row>
    <row r="403" spans="1:16" x14ac:dyDescent="0.2">
      <c r="A403" s="2" t="s">
        <v>723</v>
      </c>
      <c r="B403" s="2" t="s">
        <v>724</v>
      </c>
      <c r="C403" s="2" t="s">
        <v>53</v>
      </c>
      <c r="D403" s="2" t="s">
        <v>19</v>
      </c>
      <c r="E403" s="2" t="s">
        <v>33</v>
      </c>
      <c r="F403" s="2" t="s">
        <v>59</v>
      </c>
      <c r="G403" s="2" t="s">
        <v>98</v>
      </c>
      <c r="H403" s="3">
        <v>5387</v>
      </c>
      <c r="I403" s="4">
        <v>20</v>
      </c>
      <c r="J403" s="5">
        <v>4.04</v>
      </c>
      <c r="K403" s="4">
        <v>80</v>
      </c>
      <c r="L403" s="3">
        <f t="shared" si="18"/>
        <v>1077.3999999999999</v>
      </c>
      <c r="M403" s="3">
        <f t="shared" si="19"/>
        <v>26.206252300887112</v>
      </c>
      <c r="N403" s="3">
        <v>58.3</v>
      </c>
      <c r="O403" s="5">
        <f t="shared" si="20"/>
        <v>44.95069005297961</v>
      </c>
      <c r="P403" s="2" t="s">
        <v>36</v>
      </c>
    </row>
    <row r="404" spans="1:16" x14ac:dyDescent="0.2">
      <c r="A404" s="2" t="s">
        <v>725</v>
      </c>
      <c r="B404" s="2" t="s">
        <v>502</v>
      </c>
      <c r="C404" s="2" t="s">
        <v>131</v>
      </c>
      <c r="D404" s="2" t="s">
        <v>27</v>
      </c>
      <c r="E404" s="2" t="s">
        <v>20</v>
      </c>
      <c r="F404" s="2" t="s">
        <v>34</v>
      </c>
      <c r="G404" s="2" t="s">
        <v>44</v>
      </c>
      <c r="H404" s="3">
        <v>8199</v>
      </c>
      <c r="I404" s="4">
        <v>25</v>
      </c>
      <c r="J404" s="5">
        <v>4.88</v>
      </c>
      <c r="K404" s="4">
        <v>80</v>
      </c>
      <c r="L404" s="3">
        <f t="shared" si="18"/>
        <v>1639.7999999999997</v>
      </c>
      <c r="M404" s="3">
        <f t="shared" si="19"/>
        <v>37.887244032049104</v>
      </c>
      <c r="N404" s="3">
        <v>124.7</v>
      </c>
      <c r="O404" s="5">
        <f t="shared" si="20"/>
        <v>30.382713738611951</v>
      </c>
      <c r="P404" s="2" t="s">
        <v>36</v>
      </c>
    </row>
    <row r="405" spans="1:16" x14ac:dyDescent="0.2">
      <c r="A405" s="2" t="s">
        <v>726</v>
      </c>
      <c r="B405" s="2" t="s">
        <v>377</v>
      </c>
      <c r="C405" s="2" t="s">
        <v>142</v>
      </c>
      <c r="D405" s="2" t="s">
        <v>143</v>
      </c>
      <c r="E405" s="2" t="s">
        <v>64</v>
      </c>
      <c r="F405" s="2" t="s">
        <v>21</v>
      </c>
      <c r="G405" s="2" t="s">
        <v>22</v>
      </c>
      <c r="H405" s="3">
        <v>7277</v>
      </c>
      <c r="I405" s="4">
        <v>25</v>
      </c>
      <c r="J405" s="5">
        <v>5.29</v>
      </c>
      <c r="K405" s="4">
        <v>80</v>
      </c>
      <c r="L405" s="3">
        <f t="shared" si="18"/>
        <v>1455.3999999999996</v>
      </c>
      <c r="M405" s="3">
        <f t="shared" si="19"/>
        <v>35.023323010426004</v>
      </c>
      <c r="N405" s="3">
        <v>122.4</v>
      </c>
      <c r="O405" s="5">
        <f t="shared" si="20"/>
        <v>28.613825988910136</v>
      </c>
      <c r="P405" s="2" t="s">
        <v>36</v>
      </c>
    </row>
    <row r="406" spans="1:16" x14ac:dyDescent="0.2">
      <c r="A406" s="2" t="s">
        <v>727</v>
      </c>
      <c r="B406" s="2" t="s">
        <v>541</v>
      </c>
      <c r="C406" s="2" t="s">
        <v>32</v>
      </c>
      <c r="D406" s="2" t="s">
        <v>32</v>
      </c>
      <c r="E406" s="2" t="s">
        <v>114</v>
      </c>
      <c r="F406" s="2" t="s">
        <v>21</v>
      </c>
      <c r="G406" s="2" t="s">
        <v>44</v>
      </c>
      <c r="H406" s="3">
        <v>16670</v>
      </c>
      <c r="I406" s="4">
        <v>30</v>
      </c>
      <c r="J406" s="5">
        <v>5.18</v>
      </c>
      <c r="K406" s="4">
        <v>85</v>
      </c>
      <c r="L406" s="3">
        <f t="shared" si="18"/>
        <v>2500.5000000000005</v>
      </c>
      <c r="M406" s="3">
        <f t="shared" si="19"/>
        <v>77.631295053673455</v>
      </c>
      <c r="N406" s="3">
        <v>240</v>
      </c>
      <c r="O406" s="5">
        <f t="shared" si="20"/>
        <v>32.346372939030601</v>
      </c>
      <c r="P406" s="2" t="s">
        <v>29</v>
      </c>
    </row>
    <row r="407" spans="1:16" x14ac:dyDescent="0.2">
      <c r="A407" s="2" t="s">
        <v>728</v>
      </c>
      <c r="B407" s="2" t="s">
        <v>550</v>
      </c>
      <c r="C407" s="2" t="s">
        <v>18</v>
      </c>
      <c r="D407" s="2" t="s">
        <v>19</v>
      </c>
      <c r="E407" s="2" t="s">
        <v>81</v>
      </c>
      <c r="F407" s="2" t="s">
        <v>28</v>
      </c>
      <c r="G407" s="2" t="s">
        <v>44</v>
      </c>
      <c r="H407" s="3">
        <v>17811</v>
      </c>
      <c r="I407" s="4">
        <v>25</v>
      </c>
      <c r="J407" s="5">
        <v>4.2300000000000004</v>
      </c>
      <c r="K407" s="4">
        <v>80</v>
      </c>
      <c r="L407" s="3">
        <f t="shared" si="18"/>
        <v>3562.1999999999994</v>
      </c>
      <c r="M407" s="3">
        <f t="shared" si="19"/>
        <v>77.031700064638343</v>
      </c>
      <c r="N407" s="3">
        <v>203.6</v>
      </c>
      <c r="O407" s="5">
        <f t="shared" si="20"/>
        <v>37.834823214458915</v>
      </c>
      <c r="P407" s="2" t="s">
        <v>36</v>
      </c>
    </row>
    <row r="408" spans="1:16" x14ac:dyDescent="0.2">
      <c r="A408" s="2" t="s">
        <v>729</v>
      </c>
      <c r="B408" s="2" t="s">
        <v>730</v>
      </c>
      <c r="C408" s="2" t="s">
        <v>84</v>
      </c>
      <c r="D408" s="2" t="s">
        <v>85</v>
      </c>
      <c r="E408" s="2" t="s">
        <v>68</v>
      </c>
      <c r="F408" s="2" t="s">
        <v>59</v>
      </c>
      <c r="G408" s="2" t="s">
        <v>35</v>
      </c>
      <c r="H408" s="3">
        <v>6945</v>
      </c>
      <c r="I408" s="4">
        <v>25</v>
      </c>
      <c r="J408" s="5">
        <v>3.96</v>
      </c>
      <c r="K408" s="4">
        <v>80</v>
      </c>
      <c r="L408" s="3">
        <f t="shared" si="18"/>
        <v>1388.9999999999998</v>
      </c>
      <c r="M408" s="3">
        <f t="shared" si="19"/>
        <v>29.20404328169721</v>
      </c>
      <c r="N408" s="3">
        <v>96.2</v>
      </c>
      <c r="O408" s="5">
        <f t="shared" si="20"/>
        <v>30.357633348957595</v>
      </c>
      <c r="P408" s="2" t="s">
        <v>36</v>
      </c>
    </row>
    <row r="409" spans="1:16" x14ac:dyDescent="0.2">
      <c r="A409" s="2" t="s">
        <v>731</v>
      </c>
      <c r="B409" s="2" t="s">
        <v>219</v>
      </c>
      <c r="C409" s="2" t="s">
        <v>146</v>
      </c>
      <c r="D409" s="2" t="s">
        <v>19</v>
      </c>
      <c r="E409" s="2" t="s">
        <v>20</v>
      </c>
      <c r="F409" s="2" t="s">
        <v>50</v>
      </c>
      <c r="G409" s="2" t="s">
        <v>22</v>
      </c>
      <c r="H409" s="3">
        <v>8781</v>
      </c>
      <c r="I409" s="4">
        <v>25</v>
      </c>
      <c r="J409" s="5">
        <v>5.23</v>
      </c>
      <c r="K409" s="4">
        <v>75</v>
      </c>
      <c r="L409" s="3">
        <f t="shared" si="18"/>
        <v>2195.25</v>
      </c>
      <c r="M409" s="3">
        <f t="shared" si="19"/>
        <v>39.387287088189943</v>
      </c>
      <c r="N409" s="3">
        <v>112.4</v>
      </c>
      <c r="O409" s="5">
        <f t="shared" si="20"/>
        <v>35.042070363158309</v>
      </c>
      <c r="P409" s="2" t="s">
        <v>36</v>
      </c>
    </row>
    <row r="410" spans="1:16" x14ac:dyDescent="0.2">
      <c r="A410" s="2" t="s">
        <v>732</v>
      </c>
      <c r="B410" s="2" t="s">
        <v>680</v>
      </c>
      <c r="C410" s="2" t="s">
        <v>131</v>
      </c>
      <c r="D410" s="2" t="s">
        <v>27</v>
      </c>
      <c r="E410" s="2" t="s">
        <v>88</v>
      </c>
      <c r="F410" s="2" t="s">
        <v>50</v>
      </c>
      <c r="G410" s="2" t="s">
        <v>44</v>
      </c>
      <c r="H410" s="3">
        <v>15203</v>
      </c>
      <c r="I410" s="4">
        <v>25</v>
      </c>
      <c r="J410" s="5">
        <v>4.3499999999999996</v>
      </c>
      <c r="K410" s="4">
        <v>85</v>
      </c>
      <c r="L410" s="3">
        <f t="shared" si="18"/>
        <v>2280.4500000000003</v>
      </c>
      <c r="M410" s="3">
        <f t="shared" si="19"/>
        <v>70.731942055214475</v>
      </c>
      <c r="N410" s="3">
        <v>163.19999999999999</v>
      </c>
      <c r="O410" s="5">
        <f t="shared" si="20"/>
        <v>43.340650769126519</v>
      </c>
      <c r="P410" s="2" t="s">
        <v>36</v>
      </c>
    </row>
    <row r="411" spans="1:16" x14ac:dyDescent="0.2">
      <c r="A411" s="2" t="s">
        <v>733</v>
      </c>
      <c r="B411" s="2" t="s">
        <v>574</v>
      </c>
      <c r="C411" s="2" t="s">
        <v>77</v>
      </c>
      <c r="D411" s="2" t="s">
        <v>19</v>
      </c>
      <c r="E411" s="2" t="s">
        <v>49</v>
      </c>
      <c r="F411" s="2" t="s">
        <v>59</v>
      </c>
      <c r="G411" s="2" t="s">
        <v>44</v>
      </c>
      <c r="H411" s="3">
        <v>3848</v>
      </c>
      <c r="I411" s="4">
        <v>25</v>
      </c>
      <c r="J411" s="5">
        <v>5.1100000000000003</v>
      </c>
      <c r="K411" s="4">
        <v>75</v>
      </c>
      <c r="L411" s="3">
        <f t="shared" si="18"/>
        <v>962</v>
      </c>
      <c r="M411" s="3">
        <f t="shared" si="19"/>
        <v>17.056744723723249</v>
      </c>
      <c r="N411" s="3">
        <v>63.7</v>
      </c>
      <c r="O411" s="5">
        <f t="shared" si="20"/>
        <v>26.776679315107138</v>
      </c>
      <c r="P411" s="2" t="s">
        <v>36</v>
      </c>
    </row>
    <row r="412" spans="1:16" x14ac:dyDescent="0.2">
      <c r="A412" s="2" t="s">
        <v>734</v>
      </c>
      <c r="B412" s="2" t="s">
        <v>564</v>
      </c>
      <c r="C412" s="2" t="s">
        <v>18</v>
      </c>
      <c r="D412" s="2" t="s">
        <v>19</v>
      </c>
      <c r="E412" s="2" t="s">
        <v>177</v>
      </c>
      <c r="F412" s="2" t="s">
        <v>34</v>
      </c>
      <c r="G412" s="2" t="s">
        <v>22</v>
      </c>
      <c r="H412" s="3">
        <v>9674</v>
      </c>
      <c r="I412" s="4">
        <v>15</v>
      </c>
      <c r="J412" s="5">
        <v>4.4800000000000004</v>
      </c>
      <c r="K412" s="4">
        <v>80</v>
      </c>
      <c r="L412" s="3">
        <f t="shared" si="18"/>
        <v>1934.7999999999995</v>
      </c>
      <c r="M412" s="3">
        <f t="shared" si="19"/>
        <v>59.125285103924831</v>
      </c>
      <c r="N412" s="3">
        <v>139.80000000000001</v>
      </c>
      <c r="O412" s="5">
        <f t="shared" si="20"/>
        <v>42.292764738143653</v>
      </c>
      <c r="P412" s="2" t="s">
        <v>36</v>
      </c>
    </row>
    <row r="413" spans="1:16" x14ac:dyDescent="0.2">
      <c r="A413" s="2" t="s">
        <v>735</v>
      </c>
      <c r="B413" s="2" t="s">
        <v>250</v>
      </c>
      <c r="C413" s="2" t="s">
        <v>77</v>
      </c>
      <c r="D413" s="2" t="s">
        <v>19</v>
      </c>
      <c r="E413" s="2" t="s">
        <v>49</v>
      </c>
      <c r="F413" s="2" t="s">
        <v>28</v>
      </c>
      <c r="G413" s="2" t="s">
        <v>22</v>
      </c>
      <c r="H413" s="3">
        <v>12948</v>
      </c>
      <c r="I413" s="4">
        <v>30</v>
      </c>
      <c r="J413" s="5">
        <v>4.17</v>
      </c>
      <c r="K413" s="4">
        <v>70</v>
      </c>
      <c r="L413" s="3">
        <f t="shared" si="18"/>
        <v>3884.4000000000005</v>
      </c>
      <c r="M413" s="3">
        <f t="shared" si="19"/>
        <v>44.164004056101938</v>
      </c>
      <c r="N413" s="3">
        <v>145</v>
      </c>
      <c r="O413" s="5">
        <f t="shared" si="20"/>
        <v>30.457933831794438</v>
      </c>
      <c r="P413" s="2" t="s">
        <v>29</v>
      </c>
    </row>
    <row r="414" spans="1:16" x14ac:dyDescent="0.2">
      <c r="A414" s="2" t="s">
        <v>736</v>
      </c>
      <c r="B414" s="2" t="s">
        <v>737</v>
      </c>
      <c r="C414" s="2" t="s">
        <v>26</v>
      </c>
      <c r="D414" s="2" t="s">
        <v>27</v>
      </c>
      <c r="E414" s="2" t="s">
        <v>114</v>
      </c>
      <c r="F414" s="2" t="s">
        <v>21</v>
      </c>
      <c r="G414" s="2" t="s">
        <v>98</v>
      </c>
      <c r="H414" s="3">
        <v>10319</v>
      </c>
      <c r="I414" s="4">
        <v>25</v>
      </c>
      <c r="J414" s="5">
        <v>4.8499999999999996</v>
      </c>
      <c r="K414" s="4">
        <v>80</v>
      </c>
      <c r="L414" s="3">
        <f t="shared" si="18"/>
        <v>2063.7999999999997</v>
      </c>
      <c r="M414" s="3">
        <f t="shared" si="19"/>
        <v>47.540380325191407</v>
      </c>
      <c r="N414" s="3">
        <v>170.8</v>
      </c>
      <c r="O414" s="5">
        <f t="shared" si="20"/>
        <v>27.833946326224474</v>
      </c>
      <c r="P414" s="2" t="s">
        <v>29</v>
      </c>
    </row>
    <row r="415" spans="1:16" x14ac:dyDescent="0.2">
      <c r="A415" s="2" t="s">
        <v>738</v>
      </c>
      <c r="B415" s="2" t="s">
        <v>286</v>
      </c>
      <c r="C415" s="2" t="s">
        <v>53</v>
      </c>
      <c r="D415" s="2" t="s">
        <v>19</v>
      </c>
      <c r="E415" s="2" t="s">
        <v>78</v>
      </c>
      <c r="F415" s="2" t="s">
        <v>34</v>
      </c>
      <c r="G415" s="2" t="s">
        <v>98</v>
      </c>
      <c r="H415" s="3">
        <v>13663</v>
      </c>
      <c r="I415" s="4">
        <v>20</v>
      </c>
      <c r="J415" s="5">
        <v>4.0999999999999996</v>
      </c>
      <c r="K415" s="4">
        <v>80</v>
      </c>
      <c r="L415" s="3">
        <f t="shared" si="18"/>
        <v>2732.5999999999995</v>
      </c>
      <c r="M415" s="3">
        <f t="shared" si="19"/>
        <v>66.813447753631806</v>
      </c>
      <c r="N415" s="3">
        <v>238</v>
      </c>
      <c r="O415" s="5">
        <f t="shared" si="20"/>
        <v>28.072877207408318</v>
      </c>
      <c r="P415" s="2" t="s">
        <v>36</v>
      </c>
    </row>
    <row r="416" spans="1:16" x14ac:dyDescent="0.2">
      <c r="A416" s="2" t="s">
        <v>739</v>
      </c>
      <c r="B416" s="2" t="s">
        <v>517</v>
      </c>
      <c r="C416" s="2" t="s">
        <v>72</v>
      </c>
      <c r="D416" s="2" t="s">
        <v>73</v>
      </c>
      <c r="E416" s="2" t="s">
        <v>156</v>
      </c>
      <c r="F416" s="2" t="s">
        <v>34</v>
      </c>
      <c r="G416" s="2" t="s">
        <v>98</v>
      </c>
      <c r="H416" s="3">
        <v>2109</v>
      </c>
      <c r="I416" s="4">
        <v>15</v>
      </c>
      <c r="J416" s="5">
        <v>4.7300000000000004</v>
      </c>
      <c r="K416" s="4">
        <v>80</v>
      </c>
      <c r="L416" s="3">
        <f t="shared" si="18"/>
        <v>421.7999999999999</v>
      </c>
      <c r="M416" s="3">
        <f t="shared" si="19"/>
        <v>13.106174475514081</v>
      </c>
      <c r="N416" s="3">
        <v>28.6</v>
      </c>
      <c r="O416" s="5">
        <f t="shared" si="20"/>
        <v>45.825784879419864</v>
      </c>
      <c r="P416" s="2" t="s">
        <v>36</v>
      </c>
    </row>
    <row r="417" spans="1:16" x14ac:dyDescent="0.2">
      <c r="A417" s="2" t="s">
        <v>740</v>
      </c>
      <c r="B417" s="2" t="s">
        <v>639</v>
      </c>
      <c r="C417" s="2" t="s">
        <v>62</v>
      </c>
      <c r="D417" s="2" t="s">
        <v>63</v>
      </c>
      <c r="E417" s="2" t="s">
        <v>88</v>
      </c>
      <c r="F417" s="2" t="s">
        <v>59</v>
      </c>
      <c r="G417" s="2" t="s">
        <v>22</v>
      </c>
      <c r="H417" s="3">
        <v>9692</v>
      </c>
      <c r="I417" s="4">
        <v>25</v>
      </c>
      <c r="J417" s="5">
        <v>4.41</v>
      </c>
      <c r="K417" s="4">
        <v>70</v>
      </c>
      <c r="L417" s="3">
        <f t="shared" si="18"/>
        <v>2907.6000000000004</v>
      </c>
      <c r="M417" s="3">
        <f t="shared" si="19"/>
        <v>37.364161502559227</v>
      </c>
      <c r="N417" s="3">
        <v>165.7</v>
      </c>
      <c r="O417" s="5">
        <f t="shared" si="20"/>
        <v>22.549282741435867</v>
      </c>
      <c r="P417" s="2" t="s">
        <v>23</v>
      </c>
    </row>
    <row r="418" spans="1:16" x14ac:dyDescent="0.2">
      <c r="A418" s="2" t="s">
        <v>741</v>
      </c>
      <c r="B418" s="2" t="s">
        <v>113</v>
      </c>
      <c r="C418" s="2" t="s">
        <v>72</v>
      </c>
      <c r="D418" s="2" t="s">
        <v>73</v>
      </c>
      <c r="E418" s="2" t="s">
        <v>41</v>
      </c>
      <c r="F418" s="2" t="s">
        <v>50</v>
      </c>
      <c r="G418" s="2" t="s">
        <v>22</v>
      </c>
      <c r="H418" s="3">
        <v>17802</v>
      </c>
      <c r="I418" s="4">
        <v>30</v>
      </c>
      <c r="J418" s="5">
        <v>4.59</v>
      </c>
      <c r="K418" s="4">
        <v>85</v>
      </c>
      <c r="L418" s="3">
        <f t="shared" si="18"/>
        <v>2670.3</v>
      </c>
      <c r="M418" s="3">
        <f t="shared" si="19"/>
        <v>77.48140236593008</v>
      </c>
      <c r="N418" s="3">
        <v>302.10000000000002</v>
      </c>
      <c r="O418" s="5">
        <f t="shared" si="20"/>
        <v>25.647600915567718</v>
      </c>
      <c r="P418" s="2" t="s">
        <v>36</v>
      </c>
    </row>
    <row r="419" spans="1:16" x14ac:dyDescent="0.2">
      <c r="A419" s="2" t="s">
        <v>742</v>
      </c>
      <c r="B419" s="2" t="s">
        <v>181</v>
      </c>
      <c r="C419" s="2" t="s">
        <v>175</v>
      </c>
      <c r="D419" s="2" t="s">
        <v>176</v>
      </c>
      <c r="E419" s="2" t="s">
        <v>97</v>
      </c>
      <c r="F419" s="2" t="s">
        <v>34</v>
      </c>
      <c r="G419" s="2" t="s">
        <v>98</v>
      </c>
      <c r="H419" s="3">
        <v>5206</v>
      </c>
      <c r="I419" s="4">
        <v>30</v>
      </c>
      <c r="J419" s="5">
        <v>4.83</v>
      </c>
      <c r="K419" s="4">
        <v>80</v>
      </c>
      <c r="L419" s="3">
        <f t="shared" si="18"/>
        <v>1041.1999999999998</v>
      </c>
      <c r="M419" s="3">
        <f t="shared" si="19"/>
        <v>21.926848448468611</v>
      </c>
      <c r="N419" s="3">
        <v>57.1</v>
      </c>
      <c r="O419" s="5">
        <f t="shared" si="20"/>
        <v>38.400785373850454</v>
      </c>
      <c r="P419" s="2" t="s">
        <v>36</v>
      </c>
    </row>
    <row r="420" spans="1:16" x14ac:dyDescent="0.2">
      <c r="A420" s="2" t="s">
        <v>743</v>
      </c>
      <c r="B420" s="2" t="s">
        <v>664</v>
      </c>
      <c r="C420" s="2" t="s">
        <v>47</v>
      </c>
      <c r="D420" s="2" t="s">
        <v>48</v>
      </c>
      <c r="E420" s="2" t="s">
        <v>41</v>
      </c>
      <c r="F420" s="2" t="s">
        <v>59</v>
      </c>
      <c r="G420" s="2" t="s">
        <v>44</v>
      </c>
      <c r="H420" s="3">
        <v>13637</v>
      </c>
      <c r="I420" s="4">
        <v>20</v>
      </c>
      <c r="J420" s="5">
        <v>4.96</v>
      </c>
      <c r="K420" s="4">
        <v>80</v>
      </c>
      <c r="L420" s="3">
        <f t="shared" si="18"/>
        <v>2727.3999999999992</v>
      </c>
      <c r="M420" s="3">
        <f t="shared" si="19"/>
        <v>71.75768193397181</v>
      </c>
      <c r="N420" s="3">
        <v>223.2</v>
      </c>
      <c r="O420" s="5">
        <f t="shared" si="20"/>
        <v>32.149499074360136</v>
      </c>
      <c r="P420" s="2" t="s">
        <v>36</v>
      </c>
    </row>
    <row r="421" spans="1:16" x14ac:dyDescent="0.2">
      <c r="A421" s="2" t="s">
        <v>744</v>
      </c>
      <c r="B421" s="2" t="s">
        <v>630</v>
      </c>
      <c r="C421" s="2" t="s">
        <v>146</v>
      </c>
      <c r="D421" s="2" t="s">
        <v>19</v>
      </c>
      <c r="E421" s="2" t="s">
        <v>33</v>
      </c>
      <c r="F421" s="2" t="s">
        <v>34</v>
      </c>
      <c r="G421" s="2" t="s">
        <v>35</v>
      </c>
      <c r="H421" s="3">
        <v>15641</v>
      </c>
      <c r="I421" s="4">
        <v>25</v>
      </c>
      <c r="J421" s="5">
        <v>4.0999999999999996</v>
      </c>
      <c r="K421" s="4">
        <v>70</v>
      </c>
      <c r="L421" s="3">
        <f t="shared" si="18"/>
        <v>4692.3000000000011</v>
      </c>
      <c r="M421" s="3">
        <f t="shared" si="19"/>
        <v>58.397520006044516</v>
      </c>
      <c r="N421" s="3">
        <v>261.10000000000002</v>
      </c>
      <c r="O421" s="5">
        <f t="shared" si="20"/>
        <v>22.365959404842783</v>
      </c>
      <c r="P421" s="2" t="s">
        <v>36</v>
      </c>
    </row>
    <row r="422" spans="1:16" x14ac:dyDescent="0.2">
      <c r="A422" s="2" t="s">
        <v>745</v>
      </c>
      <c r="B422" s="2" t="s">
        <v>746</v>
      </c>
      <c r="C422" s="2" t="s">
        <v>62</v>
      </c>
      <c r="D422" s="2" t="s">
        <v>63</v>
      </c>
      <c r="E422" s="2" t="s">
        <v>81</v>
      </c>
      <c r="F422" s="2" t="s">
        <v>50</v>
      </c>
      <c r="G422" s="2" t="s">
        <v>44</v>
      </c>
      <c r="H422" s="3">
        <v>1623</v>
      </c>
      <c r="I422" s="4">
        <v>30</v>
      </c>
      <c r="J422" s="5">
        <v>4.28</v>
      </c>
      <c r="K422" s="4">
        <v>90</v>
      </c>
      <c r="L422" s="3">
        <f t="shared" si="18"/>
        <v>162.29999999999995</v>
      </c>
      <c r="M422" s="3">
        <f t="shared" si="19"/>
        <v>7.2114432336802468</v>
      </c>
      <c r="N422" s="3">
        <v>23.5</v>
      </c>
      <c r="O422" s="5">
        <f t="shared" si="20"/>
        <v>30.68699248374573</v>
      </c>
      <c r="P422" s="2" t="s">
        <v>36</v>
      </c>
    </row>
    <row r="423" spans="1:16" x14ac:dyDescent="0.2">
      <c r="A423" s="2" t="s">
        <v>747</v>
      </c>
      <c r="B423" s="2" t="s">
        <v>435</v>
      </c>
      <c r="C423" s="2" t="s">
        <v>153</v>
      </c>
      <c r="D423" s="2" t="s">
        <v>19</v>
      </c>
      <c r="E423" s="2" t="s">
        <v>97</v>
      </c>
      <c r="F423" s="2" t="s">
        <v>21</v>
      </c>
      <c r="G423" s="2" t="s">
        <v>22</v>
      </c>
      <c r="H423" s="3">
        <v>13137</v>
      </c>
      <c r="I423" s="4">
        <v>25</v>
      </c>
      <c r="J423" s="5">
        <v>4.29</v>
      </c>
      <c r="K423" s="4">
        <v>90</v>
      </c>
      <c r="L423" s="3">
        <f t="shared" si="18"/>
        <v>1313.6999999999998</v>
      </c>
      <c r="M423" s="3">
        <f t="shared" si="19"/>
        <v>64.316421681970411</v>
      </c>
      <c r="N423" s="3">
        <v>203.9</v>
      </c>
      <c r="O423" s="5">
        <f t="shared" si="20"/>
        <v>31.543120000966361</v>
      </c>
      <c r="P423" s="2" t="s">
        <v>36</v>
      </c>
    </row>
    <row r="424" spans="1:16" x14ac:dyDescent="0.2">
      <c r="A424" s="2" t="s">
        <v>748</v>
      </c>
      <c r="B424" s="2" t="s">
        <v>578</v>
      </c>
      <c r="C424" s="2" t="s">
        <v>153</v>
      </c>
      <c r="D424" s="2" t="s">
        <v>19</v>
      </c>
      <c r="E424" s="2" t="s">
        <v>64</v>
      </c>
      <c r="F424" s="2" t="s">
        <v>59</v>
      </c>
      <c r="G424" s="2" t="s">
        <v>44</v>
      </c>
      <c r="H424" s="3">
        <v>2099</v>
      </c>
      <c r="I424" s="4">
        <v>30</v>
      </c>
      <c r="J424" s="5">
        <v>4.43</v>
      </c>
      <c r="K424" s="4">
        <v>90</v>
      </c>
      <c r="L424" s="3">
        <f t="shared" si="18"/>
        <v>209.89999999999995</v>
      </c>
      <c r="M424" s="3">
        <f t="shared" si="19"/>
        <v>9.4933806494537532</v>
      </c>
      <c r="N424" s="3">
        <v>32</v>
      </c>
      <c r="O424" s="5">
        <f t="shared" si="20"/>
        <v>29.666814529542979</v>
      </c>
      <c r="P424" s="2" t="s">
        <v>36</v>
      </c>
    </row>
    <row r="425" spans="1:16" x14ac:dyDescent="0.2">
      <c r="A425" s="2" t="s">
        <v>749</v>
      </c>
      <c r="B425" s="2" t="s">
        <v>198</v>
      </c>
      <c r="C425" s="2" t="s">
        <v>56</v>
      </c>
      <c r="D425" s="2" t="s">
        <v>57</v>
      </c>
      <c r="E425" s="2" t="s">
        <v>78</v>
      </c>
      <c r="F425" s="2" t="s">
        <v>34</v>
      </c>
      <c r="G425" s="2" t="s">
        <v>44</v>
      </c>
      <c r="H425" s="3">
        <v>1863</v>
      </c>
      <c r="I425" s="4">
        <v>20</v>
      </c>
      <c r="J425" s="5">
        <v>5.48</v>
      </c>
      <c r="K425" s="4">
        <v>80</v>
      </c>
      <c r="L425" s="3">
        <f t="shared" si="18"/>
        <v>372.59999999999991</v>
      </c>
      <c r="M425" s="3">
        <f t="shared" si="19"/>
        <v>10.235444238294312</v>
      </c>
      <c r="N425" s="3">
        <v>22.9</v>
      </c>
      <c r="O425" s="5">
        <f t="shared" si="20"/>
        <v>44.696263049320137</v>
      </c>
      <c r="P425" s="2" t="s">
        <v>36</v>
      </c>
    </row>
    <row r="426" spans="1:16" x14ac:dyDescent="0.2">
      <c r="A426" s="2" t="s">
        <v>750</v>
      </c>
      <c r="B426" s="2" t="s">
        <v>751</v>
      </c>
      <c r="C426" s="2" t="s">
        <v>77</v>
      </c>
      <c r="D426" s="2" t="s">
        <v>19</v>
      </c>
      <c r="E426" s="2" t="s">
        <v>58</v>
      </c>
      <c r="F426" s="2" t="s">
        <v>34</v>
      </c>
      <c r="G426" s="2" t="s">
        <v>98</v>
      </c>
      <c r="H426" s="3">
        <v>13079</v>
      </c>
      <c r="I426" s="4">
        <v>20</v>
      </c>
      <c r="J426" s="5">
        <v>5.3</v>
      </c>
      <c r="K426" s="4">
        <v>85</v>
      </c>
      <c r="L426" s="3">
        <f t="shared" si="18"/>
        <v>1961.8500000000004</v>
      </c>
      <c r="M426" s="3">
        <f t="shared" si="19"/>
        <v>75.223135978991863</v>
      </c>
      <c r="N426" s="3">
        <v>138</v>
      </c>
      <c r="O426" s="5">
        <f t="shared" si="20"/>
        <v>54.509518825356416</v>
      </c>
      <c r="P426" s="2" t="s">
        <v>69</v>
      </c>
    </row>
    <row r="427" spans="1:16" x14ac:dyDescent="0.2">
      <c r="A427" s="2" t="s">
        <v>752</v>
      </c>
      <c r="B427" s="2" t="s">
        <v>286</v>
      </c>
      <c r="C427" s="2" t="s">
        <v>91</v>
      </c>
      <c r="D427" s="2" t="s">
        <v>92</v>
      </c>
      <c r="E427" s="2" t="s">
        <v>58</v>
      </c>
      <c r="F427" s="2" t="s">
        <v>34</v>
      </c>
      <c r="G427" s="2" t="s">
        <v>22</v>
      </c>
      <c r="H427" s="3">
        <v>8635</v>
      </c>
      <c r="I427" s="4">
        <v>30</v>
      </c>
      <c r="J427" s="5">
        <v>4.03</v>
      </c>
      <c r="K427" s="4">
        <v>80</v>
      </c>
      <c r="L427" s="3">
        <f t="shared" si="18"/>
        <v>1726.9999999999995</v>
      </c>
      <c r="M427" s="3">
        <f t="shared" si="19"/>
        <v>33.099436864454425</v>
      </c>
      <c r="N427" s="3">
        <v>112.3</v>
      </c>
      <c r="O427" s="5">
        <f t="shared" si="20"/>
        <v>29.474120093013738</v>
      </c>
      <c r="P427" s="2" t="s">
        <v>36</v>
      </c>
    </row>
    <row r="428" spans="1:16" x14ac:dyDescent="0.2">
      <c r="A428" s="2" t="s">
        <v>753</v>
      </c>
      <c r="B428" s="2" t="s">
        <v>116</v>
      </c>
      <c r="C428" s="2" t="s">
        <v>119</v>
      </c>
      <c r="D428" s="2" t="s">
        <v>120</v>
      </c>
      <c r="E428" s="2" t="s">
        <v>74</v>
      </c>
      <c r="F428" s="2" t="s">
        <v>28</v>
      </c>
      <c r="G428" s="2" t="s">
        <v>22</v>
      </c>
      <c r="H428" s="3">
        <v>7410</v>
      </c>
      <c r="I428" s="4">
        <v>20</v>
      </c>
      <c r="J428" s="5">
        <v>5.74</v>
      </c>
      <c r="K428" s="4">
        <v>80</v>
      </c>
      <c r="L428" s="3">
        <f t="shared" si="18"/>
        <v>1481.9999999999998</v>
      </c>
      <c r="M428" s="3">
        <f t="shared" si="19"/>
        <v>41.585675369871119</v>
      </c>
      <c r="N428" s="3">
        <v>108</v>
      </c>
      <c r="O428" s="5">
        <f t="shared" si="20"/>
        <v>38.50525497210289</v>
      </c>
      <c r="P428" s="2" t="s">
        <v>29</v>
      </c>
    </row>
    <row r="429" spans="1:16" x14ac:dyDescent="0.2">
      <c r="A429" s="2" t="s">
        <v>754</v>
      </c>
      <c r="B429" s="2" t="s">
        <v>450</v>
      </c>
      <c r="C429" s="2" t="s">
        <v>53</v>
      </c>
      <c r="D429" s="2" t="s">
        <v>19</v>
      </c>
      <c r="E429" s="2" t="s">
        <v>58</v>
      </c>
      <c r="F429" s="2" t="s">
        <v>34</v>
      </c>
      <c r="G429" s="2" t="s">
        <v>22</v>
      </c>
      <c r="H429" s="3">
        <v>13154</v>
      </c>
      <c r="I429" s="4">
        <v>30</v>
      </c>
      <c r="J429" s="5">
        <v>5.45</v>
      </c>
      <c r="K429" s="4">
        <v>75</v>
      </c>
      <c r="L429" s="3">
        <f t="shared" si="18"/>
        <v>3288.5</v>
      </c>
      <c r="M429" s="3">
        <f t="shared" si="19"/>
        <v>55.706128462758215</v>
      </c>
      <c r="N429" s="3">
        <v>142.80000000000001</v>
      </c>
      <c r="O429" s="5">
        <f t="shared" si="20"/>
        <v>39.009893881483343</v>
      </c>
      <c r="P429" s="2" t="s">
        <v>36</v>
      </c>
    </row>
    <row r="430" spans="1:16" x14ac:dyDescent="0.2">
      <c r="A430" s="2" t="s">
        <v>755</v>
      </c>
      <c r="B430" s="2" t="s">
        <v>192</v>
      </c>
      <c r="C430" s="2" t="s">
        <v>153</v>
      </c>
      <c r="D430" s="2" t="s">
        <v>19</v>
      </c>
      <c r="E430" s="2" t="s">
        <v>68</v>
      </c>
      <c r="F430" s="2" t="s">
        <v>50</v>
      </c>
      <c r="G430" s="2" t="s">
        <v>44</v>
      </c>
      <c r="H430" s="3">
        <v>2832</v>
      </c>
      <c r="I430" s="4">
        <v>15</v>
      </c>
      <c r="J430" s="5">
        <v>4.24</v>
      </c>
      <c r="K430" s="4">
        <v>85</v>
      </c>
      <c r="L430" s="3">
        <f t="shared" si="18"/>
        <v>424.80000000000007</v>
      </c>
      <c r="M430" s="3">
        <f t="shared" si="19"/>
        <v>18.096665193438621</v>
      </c>
      <c r="N430" s="3">
        <v>35.700000000000003</v>
      </c>
      <c r="O430" s="5">
        <f t="shared" si="20"/>
        <v>50.69093891719502</v>
      </c>
      <c r="P430" s="2" t="s">
        <v>36</v>
      </c>
    </row>
    <row r="431" spans="1:16" x14ac:dyDescent="0.2">
      <c r="A431" s="2" t="s">
        <v>756</v>
      </c>
      <c r="B431" s="2" t="s">
        <v>684</v>
      </c>
      <c r="C431" s="2" t="s">
        <v>72</v>
      </c>
      <c r="D431" s="2" t="s">
        <v>73</v>
      </c>
      <c r="E431" s="2" t="s">
        <v>74</v>
      </c>
      <c r="F431" s="2" t="s">
        <v>28</v>
      </c>
      <c r="G431" s="2" t="s">
        <v>44</v>
      </c>
      <c r="H431" s="3">
        <v>7967</v>
      </c>
      <c r="I431" s="4">
        <v>30</v>
      </c>
      <c r="J431" s="5">
        <v>4.4000000000000004</v>
      </c>
      <c r="K431" s="4">
        <v>75</v>
      </c>
      <c r="L431" s="3">
        <f t="shared" si="18"/>
        <v>1991.75</v>
      </c>
      <c r="M431" s="3">
        <f t="shared" si="19"/>
        <v>29.921716286693012</v>
      </c>
      <c r="N431" s="3">
        <v>110.4</v>
      </c>
      <c r="O431" s="5">
        <f t="shared" si="20"/>
        <v>27.103003882874106</v>
      </c>
      <c r="P431" s="2" t="s">
        <v>36</v>
      </c>
    </row>
    <row r="432" spans="1:16" x14ac:dyDescent="0.2">
      <c r="A432" s="2" t="s">
        <v>757</v>
      </c>
      <c r="B432" s="2" t="s">
        <v>122</v>
      </c>
      <c r="C432" s="2" t="s">
        <v>175</v>
      </c>
      <c r="D432" s="2" t="s">
        <v>176</v>
      </c>
      <c r="E432" s="2" t="s">
        <v>177</v>
      </c>
      <c r="F432" s="2" t="s">
        <v>28</v>
      </c>
      <c r="G432" s="2" t="s">
        <v>44</v>
      </c>
      <c r="H432" s="3">
        <v>1772</v>
      </c>
      <c r="I432" s="4">
        <v>15</v>
      </c>
      <c r="J432" s="5">
        <v>4.38</v>
      </c>
      <c r="K432" s="4">
        <v>85</v>
      </c>
      <c r="L432" s="3">
        <f t="shared" si="18"/>
        <v>265.8</v>
      </c>
      <c r="M432" s="3">
        <f t="shared" si="19"/>
        <v>11.430170176975867</v>
      </c>
      <c r="N432" s="3">
        <v>30.8</v>
      </c>
      <c r="O432" s="5">
        <f t="shared" si="20"/>
        <v>37.110942133038527</v>
      </c>
      <c r="P432" s="2" t="s">
        <v>36</v>
      </c>
    </row>
    <row r="433" spans="1:16" x14ac:dyDescent="0.2">
      <c r="A433" s="2" t="s">
        <v>758</v>
      </c>
      <c r="B433" s="2" t="s">
        <v>317</v>
      </c>
      <c r="C433" s="2" t="s">
        <v>67</v>
      </c>
      <c r="D433" s="2" t="s">
        <v>67</v>
      </c>
      <c r="E433" s="2" t="s">
        <v>78</v>
      </c>
      <c r="F433" s="2" t="s">
        <v>21</v>
      </c>
      <c r="G433" s="2" t="s">
        <v>98</v>
      </c>
      <c r="H433" s="3">
        <v>9694</v>
      </c>
      <c r="I433" s="4">
        <v>20</v>
      </c>
      <c r="J433" s="5">
        <v>5.33</v>
      </c>
      <c r="K433" s="4">
        <v>70</v>
      </c>
      <c r="L433" s="3">
        <f t="shared" si="18"/>
        <v>2908.2000000000003</v>
      </c>
      <c r="M433" s="3">
        <f t="shared" si="19"/>
        <v>46.029521136497763</v>
      </c>
      <c r="N433" s="3">
        <v>113.5</v>
      </c>
      <c r="O433" s="5">
        <f t="shared" si="20"/>
        <v>40.55464417312578</v>
      </c>
      <c r="P433" s="2" t="s">
        <v>23</v>
      </c>
    </row>
    <row r="434" spans="1:16" x14ac:dyDescent="0.2">
      <c r="A434" s="2" t="s">
        <v>759</v>
      </c>
      <c r="B434" s="2" t="s">
        <v>760</v>
      </c>
      <c r="C434" s="2" t="s">
        <v>119</v>
      </c>
      <c r="D434" s="2" t="s">
        <v>120</v>
      </c>
      <c r="E434" s="2" t="s">
        <v>58</v>
      </c>
      <c r="F434" s="2" t="s">
        <v>21</v>
      </c>
      <c r="G434" s="2" t="s">
        <v>35</v>
      </c>
      <c r="H434" s="3">
        <v>3851</v>
      </c>
      <c r="I434" s="4">
        <v>20</v>
      </c>
      <c r="J434" s="5">
        <v>5.51</v>
      </c>
      <c r="K434" s="4">
        <v>80</v>
      </c>
      <c r="L434" s="3">
        <f t="shared" si="18"/>
        <v>770.19999999999982</v>
      </c>
      <c r="M434" s="3">
        <f t="shared" si="19"/>
        <v>21.209836250642155</v>
      </c>
      <c r="N434" s="3">
        <v>52.6</v>
      </c>
      <c r="O434" s="5">
        <f t="shared" si="20"/>
        <v>40.322882605783569</v>
      </c>
      <c r="P434" s="2" t="s">
        <v>69</v>
      </c>
    </row>
    <row r="435" spans="1:16" x14ac:dyDescent="0.2">
      <c r="A435" s="2" t="s">
        <v>761</v>
      </c>
      <c r="B435" s="2" t="s">
        <v>183</v>
      </c>
      <c r="C435" s="2" t="s">
        <v>47</v>
      </c>
      <c r="D435" s="2" t="s">
        <v>48</v>
      </c>
      <c r="E435" s="2" t="s">
        <v>41</v>
      </c>
      <c r="F435" s="2" t="s">
        <v>50</v>
      </c>
      <c r="G435" s="2" t="s">
        <v>35</v>
      </c>
      <c r="H435" s="3">
        <v>2264</v>
      </c>
      <c r="I435" s="4">
        <v>30</v>
      </c>
      <c r="J435" s="5">
        <v>4.3</v>
      </c>
      <c r="K435" s="4">
        <v>85</v>
      </c>
      <c r="L435" s="3">
        <f t="shared" si="18"/>
        <v>339.6</v>
      </c>
      <c r="M435" s="3">
        <f t="shared" si="19"/>
        <v>9.5233060267682195</v>
      </c>
      <c r="N435" s="3">
        <v>39.4</v>
      </c>
      <c r="O435" s="5">
        <f t="shared" si="20"/>
        <v>24.170827479107157</v>
      </c>
      <c r="P435" s="2" t="s">
        <v>36</v>
      </c>
    </row>
    <row r="436" spans="1:16" x14ac:dyDescent="0.2">
      <c r="A436" s="2" t="s">
        <v>762</v>
      </c>
      <c r="B436" s="2" t="s">
        <v>277</v>
      </c>
      <c r="C436" s="2" t="s">
        <v>77</v>
      </c>
      <c r="D436" s="2" t="s">
        <v>19</v>
      </c>
      <c r="E436" s="2" t="s">
        <v>156</v>
      </c>
      <c r="F436" s="2" t="s">
        <v>21</v>
      </c>
      <c r="G436" s="2" t="s">
        <v>35</v>
      </c>
      <c r="H436" s="3">
        <v>12725</v>
      </c>
      <c r="I436" s="4">
        <v>25</v>
      </c>
      <c r="J436" s="5">
        <v>4.91</v>
      </c>
      <c r="K436" s="4">
        <v>70</v>
      </c>
      <c r="L436" s="3">
        <f t="shared" si="18"/>
        <v>3817.5000000000005</v>
      </c>
      <c r="M436" s="3">
        <f t="shared" si="19"/>
        <v>51.606351001999137</v>
      </c>
      <c r="N436" s="3">
        <v>215.2</v>
      </c>
      <c r="O436" s="5">
        <f t="shared" si="20"/>
        <v>23.980646376393651</v>
      </c>
      <c r="P436" s="2" t="s">
        <v>69</v>
      </c>
    </row>
    <row r="437" spans="1:16" x14ac:dyDescent="0.2">
      <c r="A437" s="2" t="s">
        <v>763</v>
      </c>
      <c r="B437" s="2" t="s">
        <v>204</v>
      </c>
      <c r="C437" s="2" t="s">
        <v>146</v>
      </c>
      <c r="D437" s="2" t="s">
        <v>19</v>
      </c>
      <c r="E437" s="2" t="s">
        <v>64</v>
      </c>
      <c r="F437" s="2" t="s">
        <v>50</v>
      </c>
      <c r="G437" s="2" t="s">
        <v>35</v>
      </c>
      <c r="H437" s="3">
        <v>3733</v>
      </c>
      <c r="I437" s="4">
        <v>30</v>
      </c>
      <c r="J437" s="5">
        <v>3.98</v>
      </c>
      <c r="K437" s="4">
        <v>90</v>
      </c>
      <c r="L437" s="3">
        <f t="shared" si="18"/>
        <v>373.2999999999999</v>
      </c>
      <c r="M437" s="3">
        <f t="shared" si="19"/>
        <v>16.001007685306043</v>
      </c>
      <c r="N437" s="3">
        <v>43.8</v>
      </c>
      <c r="O437" s="5">
        <f t="shared" si="20"/>
        <v>36.531981016680461</v>
      </c>
      <c r="P437" s="2" t="s">
        <v>36</v>
      </c>
    </row>
    <row r="438" spans="1:16" x14ac:dyDescent="0.2">
      <c r="A438" s="2" t="s">
        <v>764</v>
      </c>
      <c r="B438" s="2" t="s">
        <v>765</v>
      </c>
      <c r="C438" s="2" t="s">
        <v>84</v>
      </c>
      <c r="D438" s="2" t="s">
        <v>85</v>
      </c>
      <c r="E438" s="2" t="s">
        <v>156</v>
      </c>
      <c r="F438" s="2" t="s">
        <v>34</v>
      </c>
      <c r="G438" s="2" t="s">
        <v>35</v>
      </c>
      <c r="H438" s="3">
        <v>11478</v>
      </c>
      <c r="I438" s="4">
        <v>20</v>
      </c>
      <c r="J438" s="5">
        <v>4.4800000000000004</v>
      </c>
      <c r="K438" s="4">
        <v>90</v>
      </c>
      <c r="L438" s="3">
        <f t="shared" si="18"/>
        <v>1147.7999999999997</v>
      </c>
      <c r="M438" s="3">
        <f t="shared" si="19"/>
        <v>65.242475185416168</v>
      </c>
      <c r="N438" s="3">
        <v>193.1</v>
      </c>
      <c r="O438" s="5">
        <f t="shared" si="20"/>
        <v>33.786885129682119</v>
      </c>
      <c r="P438" s="2" t="s">
        <v>36</v>
      </c>
    </row>
    <row r="439" spans="1:16" x14ac:dyDescent="0.2">
      <c r="A439" s="2" t="s">
        <v>766</v>
      </c>
      <c r="B439" s="2" t="s">
        <v>506</v>
      </c>
      <c r="C439" s="2" t="s">
        <v>67</v>
      </c>
      <c r="D439" s="2" t="s">
        <v>67</v>
      </c>
      <c r="E439" s="2" t="s">
        <v>68</v>
      </c>
      <c r="F439" s="2" t="s">
        <v>50</v>
      </c>
      <c r="G439" s="2" t="s">
        <v>22</v>
      </c>
      <c r="H439" s="3">
        <v>5592</v>
      </c>
      <c r="I439" s="4">
        <v>15</v>
      </c>
      <c r="J439" s="5">
        <v>5.28</v>
      </c>
      <c r="K439" s="4">
        <v>85</v>
      </c>
      <c r="L439" s="3">
        <f t="shared" si="18"/>
        <v>838.80000000000007</v>
      </c>
      <c r="M439" s="3">
        <f t="shared" si="19"/>
        <v>38.28493438623655</v>
      </c>
      <c r="N439" s="3">
        <v>89.1</v>
      </c>
      <c r="O439" s="5">
        <f t="shared" si="20"/>
        <v>42.968500994653816</v>
      </c>
      <c r="P439" s="2" t="s">
        <v>36</v>
      </c>
    </row>
    <row r="440" spans="1:16" x14ac:dyDescent="0.2">
      <c r="A440" s="2" t="s">
        <v>767</v>
      </c>
      <c r="B440" s="2" t="s">
        <v>768</v>
      </c>
      <c r="C440" s="2" t="s">
        <v>100</v>
      </c>
      <c r="D440" s="2" t="s">
        <v>32</v>
      </c>
      <c r="E440" s="2" t="s">
        <v>114</v>
      </c>
      <c r="F440" s="2" t="s">
        <v>59</v>
      </c>
      <c r="G440" s="2" t="s">
        <v>44</v>
      </c>
      <c r="H440" s="3">
        <v>16927</v>
      </c>
      <c r="I440" s="4">
        <v>25</v>
      </c>
      <c r="J440" s="5">
        <v>5.03</v>
      </c>
      <c r="K440" s="4">
        <v>85</v>
      </c>
      <c r="L440" s="3">
        <f t="shared" si="18"/>
        <v>2539.0500000000002</v>
      </c>
      <c r="M440" s="3">
        <f t="shared" si="19"/>
        <v>84.362198246819119</v>
      </c>
      <c r="N440" s="3">
        <v>262.10000000000002</v>
      </c>
      <c r="O440" s="5">
        <f t="shared" si="20"/>
        <v>32.187027183067194</v>
      </c>
      <c r="P440" s="2" t="s">
        <v>36</v>
      </c>
    </row>
    <row r="441" spans="1:16" x14ac:dyDescent="0.2">
      <c r="A441" s="2" t="s">
        <v>769</v>
      </c>
      <c r="B441" s="2" t="s">
        <v>760</v>
      </c>
      <c r="C441" s="2" t="s">
        <v>53</v>
      </c>
      <c r="D441" s="2" t="s">
        <v>19</v>
      </c>
      <c r="E441" s="2" t="s">
        <v>41</v>
      </c>
      <c r="F441" s="2" t="s">
        <v>34</v>
      </c>
      <c r="G441" s="2" t="s">
        <v>98</v>
      </c>
      <c r="H441" s="3">
        <v>3536</v>
      </c>
      <c r="I441" s="4">
        <v>15</v>
      </c>
      <c r="J441" s="5">
        <v>5.48</v>
      </c>
      <c r="K441" s="4">
        <v>90</v>
      </c>
      <c r="L441" s="3">
        <f t="shared" si="18"/>
        <v>353.59999999999991</v>
      </c>
      <c r="M441" s="3">
        <f t="shared" si="19"/>
        <v>25.969101198668938</v>
      </c>
      <c r="N441" s="3">
        <v>48.8</v>
      </c>
      <c r="O441" s="5">
        <f t="shared" si="20"/>
        <v>53.215371308747827</v>
      </c>
      <c r="P441" s="2" t="s">
        <v>36</v>
      </c>
    </row>
    <row r="442" spans="1:16" x14ac:dyDescent="0.2">
      <c r="A442" s="2" t="s">
        <v>770</v>
      </c>
      <c r="B442" s="2" t="s">
        <v>255</v>
      </c>
      <c r="C442" s="2" t="s">
        <v>39</v>
      </c>
      <c r="D442" s="2" t="s">
        <v>40</v>
      </c>
      <c r="E442" s="2" t="s">
        <v>33</v>
      </c>
      <c r="F442" s="2" t="s">
        <v>34</v>
      </c>
      <c r="G442" s="2" t="s">
        <v>22</v>
      </c>
      <c r="H442" s="3">
        <v>17792</v>
      </c>
      <c r="I442" s="4">
        <v>30</v>
      </c>
      <c r="J442" s="5">
        <v>4.87</v>
      </c>
      <c r="K442" s="4">
        <v>90</v>
      </c>
      <c r="L442" s="3">
        <f t="shared" si="18"/>
        <v>1779.1999999999996</v>
      </c>
      <c r="M442" s="3">
        <f t="shared" si="19"/>
        <v>84.692464037150756</v>
      </c>
      <c r="N442" s="3">
        <v>251.7</v>
      </c>
      <c r="O442" s="5">
        <f t="shared" si="20"/>
        <v>33.648178004430179</v>
      </c>
      <c r="P442" s="2" t="s">
        <v>29</v>
      </c>
    </row>
    <row r="443" spans="1:16" x14ac:dyDescent="0.2">
      <c r="A443" s="2" t="s">
        <v>771</v>
      </c>
      <c r="B443" s="2" t="s">
        <v>578</v>
      </c>
      <c r="C443" s="2" t="s">
        <v>56</v>
      </c>
      <c r="D443" s="2" t="s">
        <v>57</v>
      </c>
      <c r="E443" s="2" t="s">
        <v>97</v>
      </c>
      <c r="F443" s="2" t="s">
        <v>50</v>
      </c>
      <c r="G443" s="2" t="s">
        <v>44</v>
      </c>
      <c r="H443" s="3">
        <v>15436</v>
      </c>
      <c r="I443" s="4">
        <v>25</v>
      </c>
      <c r="J443" s="5">
        <v>4.76</v>
      </c>
      <c r="K443" s="4">
        <v>75</v>
      </c>
      <c r="L443" s="3">
        <f t="shared" si="18"/>
        <v>3859</v>
      </c>
      <c r="M443" s="3">
        <f t="shared" si="19"/>
        <v>66.069091708446237</v>
      </c>
      <c r="N443" s="3">
        <v>184.8</v>
      </c>
      <c r="O443" s="5">
        <f t="shared" si="20"/>
        <v>35.751673002405973</v>
      </c>
      <c r="P443" s="2" t="s">
        <v>36</v>
      </c>
    </row>
    <row r="444" spans="1:16" x14ac:dyDescent="0.2">
      <c r="A444" s="2" t="s">
        <v>772</v>
      </c>
      <c r="B444" s="2" t="s">
        <v>330</v>
      </c>
      <c r="C444" s="2" t="s">
        <v>72</v>
      </c>
      <c r="D444" s="2" t="s">
        <v>73</v>
      </c>
      <c r="E444" s="2" t="s">
        <v>177</v>
      </c>
      <c r="F444" s="2" t="s">
        <v>59</v>
      </c>
      <c r="G444" s="2" t="s">
        <v>22</v>
      </c>
      <c r="H444" s="3">
        <v>9885</v>
      </c>
      <c r="I444" s="4">
        <v>15</v>
      </c>
      <c r="J444" s="5">
        <v>4.12</v>
      </c>
      <c r="K444" s="4">
        <v>70</v>
      </c>
      <c r="L444" s="3">
        <f t="shared" si="18"/>
        <v>2965.5000000000005</v>
      </c>
      <c r="M444" s="3">
        <f t="shared" si="19"/>
        <v>51.599804447774581</v>
      </c>
      <c r="N444" s="3">
        <v>128.5</v>
      </c>
      <c r="O444" s="5">
        <f t="shared" si="20"/>
        <v>40.155489842626139</v>
      </c>
      <c r="P444" s="2" t="s">
        <v>36</v>
      </c>
    </row>
    <row r="445" spans="1:16" x14ac:dyDescent="0.2">
      <c r="A445" s="2" t="s">
        <v>773</v>
      </c>
      <c r="B445" s="2" t="s">
        <v>109</v>
      </c>
      <c r="C445" s="2" t="s">
        <v>18</v>
      </c>
      <c r="D445" s="2" t="s">
        <v>19</v>
      </c>
      <c r="E445" s="2" t="s">
        <v>114</v>
      </c>
      <c r="F445" s="2" t="s">
        <v>28</v>
      </c>
      <c r="G445" s="2" t="s">
        <v>35</v>
      </c>
      <c r="H445" s="3">
        <v>12532</v>
      </c>
      <c r="I445" s="4">
        <v>20</v>
      </c>
      <c r="J445" s="5">
        <v>4.37</v>
      </c>
      <c r="K445" s="4">
        <v>85</v>
      </c>
      <c r="L445" s="3">
        <f t="shared" si="18"/>
        <v>1879.8000000000002</v>
      </c>
      <c r="M445" s="3">
        <f t="shared" si="19"/>
        <v>66.645877777878567</v>
      </c>
      <c r="N445" s="3">
        <v>156.6</v>
      </c>
      <c r="O445" s="5">
        <f t="shared" si="20"/>
        <v>42.558031786640207</v>
      </c>
      <c r="P445" s="2" t="s">
        <v>69</v>
      </c>
    </row>
    <row r="446" spans="1:16" x14ac:dyDescent="0.2">
      <c r="A446" s="2" t="s">
        <v>774</v>
      </c>
      <c r="B446" s="2" t="s">
        <v>775</v>
      </c>
      <c r="C446" s="2" t="s">
        <v>39</v>
      </c>
      <c r="D446" s="2" t="s">
        <v>40</v>
      </c>
      <c r="E446" s="2" t="s">
        <v>81</v>
      </c>
      <c r="F446" s="2" t="s">
        <v>59</v>
      </c>
      <c r="G446" s="2" t="s">
        <v>22</v>
      </c>
      <c r="H446" s="3">
        <v>7147</v>
      </c>
      <c r="I446" s="4">
        <v>20</v>
      </c>
      <c r="J446" s="5">
        <v>4.3499999999999996</v>
      </c>
      <c r="K446" s="4">
        <v>75</v>
      </c>
      <c r="L446" s="3">
        <f t="shared" si="18"/>
        <v>1786.75</v>
      </c>
      <c r="M446" s="3">
        <f t="shared" si="19"/>
        <v>33.479114747800978</v>
      </c>
      <c r="N446" s="3">
        <v>97</v>
      </c>
      <c r="O446" s="5">
        <f t="shared" si="20"/>
        <v>34.514551286392759</v>
      </c>
      <c r="P446" s="2" t="s">
        <v>23</v>
      </c>
    </row>
    <row r="447" spans="1:16" x14ac:dyDescent="0.2">
      <c r="A447" s="2" t="s">
        <v>776</v>
      </c>
      <c r="B447" s="2" t="s">
        <v>403</v>
      </c>
      <c r="C447" s="2" t="s">
        <v>131</v>
      </c>
      <c r="D447" s="2" t="s">
        <v>27</v>
      </c>
      <c r="E447" s="2" t="s">
        <v>68</v>
      </c>
      <c r="F447" s="2" t="s">
        <v>59</v>
      </c>
      <c r="G447" s="2" t="s">
        <v>44</v>
      </c>
      <c r="H447" s="3">
        <v>12919</v>
      </c>
      <c r="I447" s="4">
        <v>30</v>
      </c>
      <c r="J447" s="5">
        <v>5.01</v>
      </c>
      <c r="K447" s="4">
        <v>80</v>
      </c>
      <c r="L447" s="3">
        <f t="shared" si="18"/>
        <v>2583.7999999999993</v>
      </c>
      <c r="M447" s="3">
        <f t="shared" si="19"/>
        <v>55.544769904096334</v>
      </c>
      <c r="N447" s="3">
        <v>143</v>
      </c>
      <c r="O447" s="5">
        <f t="shared" si="20"/>
        <v>38.842496436430999</v>
      </c>
      <c r="P447" s="2" t="s">
        <v>23</v>
      </c>
    </row>
    <row r="448" spans="1:16" x14ac:dyDescent="0.2">
      <c r="A448" s="2" t="s">
        <v>777</v>
      </c>
      <c r="B448" s="2" t="s">
        <v>555</v>
      </c>
      <c r="C448" s="2" t="s">
        <v>100</v>
      </c>
      <c r="D448" s="2" t="s">
        <v>32</v>
      </c>
      <c r="E448" s="2" t="s">
        <v>49</v>
      </c>
      <c r="F448" s="2" t="s">
        <v>34</v>
      </c>
      <c r="G448" s="2" t="s">
        <v>98</v>
      </c>
      <c r="H448" s="3">
        <v>17677</v>
      </c>
      <c r="I448" s="4">
        <v>25</v>
      </c>
      <c r="J448" s="5">
        <v>5.75</v>
      </c>
      <c r="K448" s="4">
        <v>70</v>
      </c>
      <c r="L448" s="3">
        <f t="shared" si="18"/>
        <v>5303.1</v>
      </c>
      <c r="M448" s="3">
        <f t="shared" si="19"/>
        <v>77.84499712937729</v>
      </c>
      <c r="N448" s="3">
        <v>253.4</v>
      </c>
      <c r="O448" s="5">
        <f t="shared" si="20"/>
        <v>30.720204076313056</v>
      </c>
      <c r="P448" s="2" t="s">
        <v>36</v>
      </c>
    </row>
    <row r="449" spans="1:16" x14ac:dyDescent="0.2">
      <c r="A449" s="2" t="s">
        <v>778</v>
      </c>
      <c r="B449" s="2" t="s">
        <v>568</v>
      </c>
      <c r="C449" s="2" t="s">
        <v>91</v>
      </c>
      <c r="D449" s="2" t="s">
        <v>92</v>
      </c>
      <c r="E449" s="2" t="s">
        <v>68</v>
      </c>
      <c r="F449" s="2" t="s">
        <v>34</v>
      </c>
      <c r="G449" s="2" t="s">
        <v>44</v>
      </c>
      <c r="H449" s="3">
        <v>14837</v>
      </c>
      <c r="I449" s="4">
        <v>20</v>
      </c>
      <c r="J449" s="5">
        <v>4.4400000000000004</v>
      </c>
      <c r="K449" s="4">
        <v>90</v>
      </c>
      <c r="L449" s="3">
        <f t="shared" si="18"/>
        <v>1483.6999999999996</v>
      </c>
      <c r="M449" s="3">
        <f t="shared" si="19"/>
        <v>84.047701455359643</v>
      </c>
      <c r="N449" s="3">
        <v>169.6</v>
      </c>
      <c r="O449" s="5">
        <f t="shared" si="20"/>
        <v>49.556427744905449</v>
      </c>
      <c r="P449" s="2" t="s">
        <v>36</v>
      </c>
    </row>
    <row r="450" spans="1:16" x14ac:dyDescent="0.2">
      <c r="A450" s="2" t="s">
        <v>779</v>
      </c>
      <c r="B450" s="2" t="s">
        <v>780</v>
      </c>
      <c r="C450" s="2" t="s">
        <v>18</v>
      </c>
      <c r="D450" s="2" t="s">
        <v>19</v>
      </c>
      <c r="E450" s="2" t="s">
        <v>33</v>
      </c>
      <c r="F450" s="2" t="s">
        <v>34</v>
      </c>
      <c r="G450" s="2" t="s">
        <v>22</v>
      </c>
      <c r="H450" s="3">
        <v>12214</v>
      </c>
      <c r="I450" s="4">
        <v>30</v>
      </c>
      <c r="J450" s="5">
        <v>4.95</v>
      </c>
      <c r="K450" s="4">
        <v>70</v>
      </c>
      <c r="L450" s="3">
        <f t="shared" ref="L450:L513" si="21">H450*(1-K450/100)</f>
        <v>3664.2000000000007</v>
      </c>
      <c r="M450" s="3">
        <f t="shared" ref="M450:M513" si="22">PMT(J450/100/12, I450*12, -(H450*K450/100))</f>
        <v>45.636267267283678</v>
      </c>
      <c r="N450" s="3">
        <v>146.6</v>
      </c>
      <c r="O450" s="5">
        <f t="shared" ref="O450:O513" si="23">IFERROR(M450/N450*100,0)</f>
        <v>31.12978667618259</v>
      </c>
      <c r="P450" s="2" t="s">
        <v>36</v>
      </c>
    </row>
    <row r="451" spans="1:16" x14ac:dyDescent="0.2">
      <c r="A451" s="2" t="s">
        <v>781</v>
      </c>
      <c r="B451" s="2" t="s">
        <v>604</v>
      </c>
      <c r="C451" s="2" t="s">
        <v>67</v>
      </c>
      <c r="D451" s="2" t="s">
        <v>67</v>
      </c>
      <c r="E451" s="2" t="s">
        <v>88</v>
      </c>
      <c r="F451" s="2" t="s">
        <v>50</v>
      </c>
      <c r="G451" s="2" t="s">
        <v>35</v>
      </c>
      <c r="H451" s="3">
        <v>10575</v>
      </c>
      <c r="I451" s="4">
        <v>20</v>
      </c>
      <c r="J451" s="5">
        <v>4.0199999999999996</v>
      </c>
      <c r="K451" s="4">
        <v>85</v>
      </c>
      <c r="L451" s="3">
        <f t="shared" si="21"/>
        <v>1586.2500000000002</v>
      </c>
      <c r="M451" s="3">
        <f t="shared" si="22"/>
        <v>54.564832661241283</v>
      </c>
      <c r="N451" s="3">
        <v>191</v>
      </c>
      <c r="O451" s="5">
        <f t="shared" si="23"/>
        <v>28.56797521530957</v>
      </c>
      <c r="P451" s="2" t="s">
        <v>69</v>
      </c>
    </row>
    <row r="452" spans="1:16" x14ac:dyDescent="0.2">
      <c r="A452" s="2" t="s">
        <v>782</v>
      </c>
      <c r="B452" s="2" t="s">
        <v>340</v>
      </c>
      <c r="C452" s="2" t="s">
        <v>100</v>
      </c>
      <c r="D452" s="2" t="s">
        <v>32</v>
      </c>
      <c r="E452" s="2" t="s">
        <v>74</v>
      </c>
      <c r="F452" s="2" t="s">
        <v>34</v>
      </c>
      <c r="G452" s="2" t="s">
        <v>44</v>
      </c>
      <c r="H452" s="3">
        <v>14461</v>
      </c>
      <c r="I452" s="4">
        <v>30</v>
      </c>
      <c r="J452" s="5">
        <v>5.74</v>
      </c>
      <c r="K452" s="4">
        <v>85</v>
      </c>
      <c r="L452" s="3">
        <f t="shared" si="21"/>
        <v>2169.1500000000005</v>
      </c>
      <c r="M452" s="3">
        <f t="shared" si="22"/>
        <v>71.653833728102541</v>
      </c>
      <c r="N452" s="3">
        <v>161.1</v>
      </c>
      <c r="O452" s="5">
        <f t="shared" si="23"/>
        <v>44.477860787152416</v>
      </c>
      <c r="P452" s="2" t="s">
        <v>36</v>
      </c>
    </row>
    <row r="453" spans="1:16" x14ac:dyDescent="0.2">
      <c r="A453" s="2" t="s">
        <v>783</v>
      </c>
      <c r="B453" s="2" t="s">
        <v>409</v>
      </c>
      <c r="C453" s="2" t="s">
        <v>18</v>
      </c>
      <c r="D453" s="2" t="s">
        <v>19</v>
      </c>
      <c r="E453" s="2" t="s">
        <v>88</v>
      </c>
      <c r="F453" s="2" t="s">
        <v>59</v>
      </c>
      <c r="G453" s="2" t="s">
        <v>35</v>
      </c>
      <c r="H453" s="3">
        <v>11766</v>
      </c>
      <c r="I453" s="4">
        <v>25</v>
      </c>
      <c r="J453" s="5">
        <v>5.55</v>
      </c>
      <c r="K453" s="4">
        <v>85</v>
      </c>
      <c r="L453" s="3">
        <f t="shared" si="21"/>
        <v>1764.9000000000003</v>
      </c>
      <c r="M453" s="3">
        <f t="shared" si="22"/>
        <v>61.714491853405974</v>
      </c>
      <c r="N453" s="3">
        <v>183.2</v>
      </c>
      <c r="O453" s="5">
        <f t="shared" si="23"/>
        <v>33.68694970164082</v>
      </c>
      <c r="P453" s="2" t="s">
        <v>29</v>
      </c>
    </row>
    <row r="454" spans="1:16" x14ac:dyDescent="0.2">
      <c r="A454" s="2" t="s">
        <v>784</v>
      </c>
      <c r="B454" s="2" t="s">
        <v>478</v>
      </c>
      <c r="C454" s="2" t="s">
        <v>62</v>
      </c>
      <c r="D454" s="2" t="s">
        <v>63</v>
      </c>
      <c r="E454" s="2" t="s">
        <v>88</v>
      </c>
      <c r="F454" s="2" t="s">
        <v>21</v>
      </c>
      <c r="G454" s="2" t="s">
        <v>35</v>
      </c>
      <c r="H454" s="3">
        <v>14905</v>
      </c>
      <c r="I454" s="4">
        <v>20</v>
      </c>
      <c r="J454" s="5">
        <v>5.14</v>
      </c>
      <c r="K454" s="4">
        <v>75</v>
      </c>
      <c r="L454" s="3">
        <f t="shared" si="21"/>
        <v>3726.25</v>
      </c>
      <c r="M454" s="3">
        <f t="shared" si="22"/>
        <v>74.642090134190312</v>
      </c>
      <c r="N454" s="3">
        <v>170.4</v>
      </c>
      <c r="O454" s="5">
        <f t="shared" si="23"/>
        <v>43.804043505980225</v>
      </c>
      <c r="P454" s="2" t="s">
        <v>29</v>
      </c>
    </row>
    <row r="455" spans="1:16" x14ac:dyDescent="0.2">
      <c r="A455" s="2" t="s">
        <v>785</v>
      </c>
      <c r="B455" s="2" t="s">
        <v>786</v>
      </c>
      <c r="C455" s="2" t="s">
        <v>131</v>
      </c>
      <c r="D455" s="2" t="s">
        <v>27</v>
      </c>
      <c r="E455" s="2" t="s">
        <v>114</v>
      </c>
      <c r="F455" s="2" t="s">
        <v>21</v>
      </c>
      <c r="G455" s="2" t="s">
        <v>98</v>
      </c>
      <c r="H455" s="3">
        <v>13087</v>
      </c>
      <c r="I455" s="4">
        <v>20</v>
      </c>
      <c r="J455" s="5">
        <v>4.46</v>
      </c>
      <c r="K455" s="4">
        <v>80</v>
      </c>
      <c r="L455" s="3">
        <f t="shared" si="21"/>
        <v>2617.3999999999996</v>
      </c>
      <c r="M455" s="3">
        <f t="shared" si="22"/>
        <v>66.010016126735906</v>
      </c>
      <c r="N455" s="3">
        <v>203.5</v>
      </c>
      <c r="O455" s="5">
        <f t="shared" si="23"/>
        <v>32.43735436203238</v>
      </c>
      <c r="P455" s="2" t="s">
        <v>36</v>
      </c>
    </row>
    <row r="456" spans="1:16" x14ac:dyDescent="0.2">
      <c r="A456" s="2" t="s">
        <v>787</v>
      </c>
      <c r="B456" s="2" t="s">
        <v>269</v>
      </c>
      <c r="C456" s="2" t="s">
        <v>72</v>
      </c>
      <c r="D456" s="2" t="s">
        <v>73</v>
      </c>
      <c r="E456" s="2" t="s">
        <v>49</v>
      </c>
      <c r="F456" s="2" t="s">
        <v>34</v>
      </c>
      <c r="G456" s="2" t="s">
        <v>98</v>
      </c>
      <c r="H456" s="3">
        <v>3144</v>
      </c>
      <c r="I456" s="4">
        <v>15</v>
      </c>
      <c r="J456" s="5">
        <v>4.91</v>
      </c>
      <c r="K456" s="4">
        <v>80</v>
      </c>
      <c r="L456" s="3">
        <f t="shared" si="21"/>
        <v>628.79999999999984</v>
      </c>
      <c r="M456" s="3">
        <f t="shared" si="22"/>
        <v>19.772321121698667</v>
      </c>
      <c r="N456" s="3">
        <v>36.4</v>
      </c>
      <c r="O456" s="5">
        <f t="shared" si="23"/>
        <v>54.319563521150179</v>
      </c>
      <c r="P456" s="2" t="s">
        <v>36</v>
      </c>
    </row>
    <row r="457" spans="1:16" x14ac:dyDescent="0.2">
      <c r="A457" s="2" t="s">
        <v>788</v>
      </c>
      <c r="B457" s="2" t="s">
        <v>789</v>
      </c>
      <c r="C457" s="2" t="s">
        <v>53</v>
      </c>
      <c r="D457" s="2" t="s">
        <v>19</v>
      </c>
      <c r="E457" s="2" t="s">
        <v>114</v>
      </c>
      <c r="F457" s="2" t="s">
        <v>50</v>
      </c>
      <c r="G457" s="2" t="s">
        <v>22</v>
      </c>
      <c r="H457" s="3">
        <v>17755</v>
      </c>
      <c r="I457" s="4">
        <v>25</v>
      </c>
      <c r="J457" s="5">
        <v>4.13</v>
      </c>
      <c r="K457" s="4">
        <v>80</v>
      </c>
      <c r="L457" s="3">
        <f t="shared" si="21"/>
        <v>3550.9999999999991</v>
      </c>
      <c r="M457" s="3">
        <f t="shared" si="22"/>
        <v>75.997257478965281</v>
      </c>
      <c r="N457" s="3">
        <v>247.1</v>
      </c>
      <c r="O457" s="5">
        <f t="shared" si="23"/>
        <v>30.755668749075387</v>
      </c>
      <c r="P457" s="2" t="s">
        <v>36</v>
      </c>
    </row>
    <row r="458" spans="1:16" x14ac:dyDescent="0.2">
      <c r="A458" s="2" t="s">
        <v>790</v>
      </c>
      <c r="B458" s="2" t="s">
        <v>353</v>
      </c>
      <c r="C458" s="2" t="s">
        <v>56</v>
      </c>
      <c r="D458" s="2" t="s">
        <v>57</v>
      </c>
      <c r="E458" s="2" t="s">
        <v>81</v>
      </c>
      <c r="F458" s="2" t="s">
        <v>34</v>
      </c>
      <c r="G458" s="2" t="s">
        <v>22</v>
      </c>
      <c r="H458" s="3">
        <v>4681</v>
      </c>
      <c r="I458" s="4">
        <v>20</v>
      </c>
      <c r="J458" s="5">
        <v>3.97</v>
      </c>
      <c r="K458" s="4">
        <v>70</v>
      </c>
      <c r="L458" s="3">
        <f t="shared" si="21"/>
        <v>1404.3000000000002</v>
      </c>
      <c r="M458" s="3">
        <f t="shared" si="22"/>
        <v>19.804397778213215</v>
      </c>
      <c r="N458" s="3">
        <v>65.400000000000006</v>
      </c>
      <c r="O458" s="5">
        <f t="shared" si="23"/>
        <v>30.281953789316841</v>
      </c>
      <c r="P458" s="2" t="s">
        <v>36</v>
      </c>
    </row>
    <row r="459" spans="1:16" x14ac:dyDescent="0.2">
      <c r="A459" s="2" t="s">
        <v>791</v>
      </c>
      <c r="B459" s="2" t="s">
        <v>653</v>
      </c>
      <c r="C459" s="2" t="s">
        <v>62</v>
      </c>
      <c r="D459" s="2" t="s">
        <v>63</v>
      </c>
      <c r="E459" s="2" t="s">
        <v>74</v>
      </c>
      <c r="F459" s="2" t="s">
        <v>28</v>
      </c>
      <c r="G459" s="2" t="s">
        <v>44</v>
      </c>
      <c r="H459" s="3">
        <v>11937</v>
      </c>
      <c r="I459" s="4">
        <v>25</v>
      </c>
      <c r="J459" s="5">
        <v>5.46</v>
      </c>
      <c r="K459" s="4">
        <v>75</v>
      </c>
      <c r="L459" s="3">
        <f t="shared" si="21"/>
        <v>2984.25</v>
      </c>
      <c r="M459" s="3">
        <f t="shared" si="22"/>
        <v>54.764062361295203</v>
      </c>
      <c r="N459" s="3">
        <v>174.8</v>
      </c>
      <c r="O459" s="5">
        <f t="shared" si="23"/>
        <v>31.329555126599086</v>
      </c>
      <c r="P459" s="2" t="s">
        <v>29</v>
      </c>
    </row>
    <row r="460" spans="1:16" x14ac:dyDescent="0.2">
      <c r="A460" s="2" t="s">
        <v>792</v>
      </c>
      <c r="B460" s="2" t="s">
        <v>524</v>
      </c>
      <c r="C460" s="2" t="s">
        <v>77</v>
      </c>
      <c r="D460" s="2" t="s">
        <v>19</v>
      </c>
      <c r="E460" s="2" t="s">
        <v>64</v>
      </c>
      <c r="F460" s="2" t="s">
        <v>21</v>
      </c>
      <c r="G460" s="2" t="s">
        <v>98</v>
      </c>
      <c r="H460" s="3">
        <v>6752</v>
      </c>
      <c r="I460" s="4">
        <v>30</v>
      </c>
      <c r="J460" s="5">
        <v>5.42</v>
      </c>
      <c r="K460" s="4">
        <v>80</v>
      </c>
      <c r="L460" s="3">
        <f t="shared" si="21"/>
        <v>1350.3999999999996</v>
      </c>
      <c r="M460" s="3">
        <f t="shared" si="22"/>
        <v>30.399117876047281</v>
      </c>
      <c r="N460" s="3">
        <v>102.6</v>
      </c>
      <c r="O460" s="5">
        <f t="shared" si="23"/>
        <v>29.628769859695208</v>
      </c>
      <c r="P460" s="2" t="s">
        <v>29</v>
      </c>
    </row>
    <row r="461" spans="1:16" x14ac:dyDescent="0.2">
      <c r="A461" s="2" t="s">
        <v>793</v>
      </c>
      <c r="B461" s="2" t="s">
        <v>102</v>
      </c>
      <c r="C461" s="2" t="s">
        <v>67</v>
      </c>
      <c r="D461" s="2" t="s">
        <v>67</v>
      </c>
      <c r="E461" s="2" t="s">
        <v>107</v>
      </c>
      <c r="F461" s="2" t="s">
        <v>59</v>
      </c>
      <c r="G461" s="2" t="s">
        <v>98</v>
      </c>
      <c r="H461" s="3">
        <v>5446</v>
      </c>
      <c r="I461" s="4">
        <v>20</v>
      </c>
      <c r="J461" s="5">
        <v>4.91</v>
      </c>
      <c r="K461" s="4">
        <v>90</v>
      </c>
      <c r="L461" s="3">
        <f t="shared" si="21"/>
        <v>544.59999999999991</v>
      </c>
      <c r="M461" s="3">
        <f t="shared" si="22"/>
        <v>32.103880309557326</v>
      </c>
      <c r="N461" s="3">
        <v>65.900000000000006</v>
      </c>
      <c r="O461" s="5">
        <f t="shared" si="23"/>
        <v>48.716055097962553</v>
      </c>
      <c r="P461" s="2" t="s">
        <v>29</v>
      </c>
    </row>
    <row r="462" spans="1:16" x14ac:dyDescent="0.2">
      <c r="A462" s="2" t="s">
        <v>794</v>
      </c>
      <c r="B462" s="2" t="s">
        <v>216</v>
      </c>
      <c r="C462" s="2" t="s">
        <v>18</v>
      </c>
      <c r="D462" s="2" t="s">
        <v>19</v>
      </c>
      <c r="E462" s="2" t="s">
        <v>177</v>
      </c>
      <c r="F462" s="2" t="s">
        <v>28</v>
      </c>
      <c r="G462" s="2" t="s">
        <v>35</v>
      </c>
      <c r="H462" s="3">
        <v>17093</v>
      </c>
      <c r="I462" s="4">
        <v>20</v>
      </c>
      <c r="J462" s="5">
        <v>4.8</v>
      </c>
      <c r="K462" s="4">
        <v>75</v>
      </c>
      <c r="L462" s="3">
        <f t="shared" si="21"/>
        <v>4273.25</v>
      </c>
      <c r="M462" s="3">
        <f t="shared" si="22"/>
        <v>83.194725240515567</v>
      </c>
      <c r="N462" s="3">
        <v>197.4</v>
      </c>
      <c r="O462" s="5">
        <f t="shared" si="23"/>
        <v>42.145250881720145</v>
      </c>
      <c r="P462" s="2" t="s">
        <v>36</v>
      </c>
    </row>
    <row r="463" spans="1:16" x14ac:dyDescent="0.2">
      <c r="A463" s="2" t="s">
        <v>795</v>
      </c>
      <c r="B463" s="2" t="s">
        <v>237</v>
      </c>
      <c r="C463" s="2" t="s">
        <v>53</v>
      </c>
      <c r="D463" s="2" t="s">
        <v>19</v>
      </c>
      <c r="E463" s="2" t="s">
        <v>156</v>
      </c>
      <c r="F463" s="2" t="s">
        <v>59</v>
      </c>
      <c r="G463" s="2" t="s">
        <v>22</v>
      </c>
      <c r="H463" s="3">
        <v>15277</v>
      </c>
      <c r="I463" s="4">
        <v>20</v>
      </c>
      <c r="J463" s="5">
        <v>5.2</v>
      </c>
      <c r="K463" s="4">
        <v>70</v>
      </c>
      <c r="L463" s="3">
        <f t="shared" si="21"/>
        <v>4583.1000000000004</v>
      </c>
      <c r="M463" s="3">
        <f t="shared" si="22"/>
        <v>71.761849237392823</v>
      </c>
      <c r="N463" s="3">
        <v>193.6</v>
      </c>
      <c r="O463" s="5">
        <f t="shared" si="23"/>
        <v>37.067070887083069</v>
      </c>
      <c r="P463" s="2" t="s">
        <v>36</v>
      </c>
    </row>
    <row r="464" spans="1:16" x14ac:dyDescent="0.2">
      <c r="A464" s="2" t="s">
        <v>796</v>
      </c>
      <c r="B464" s="2" t="s">
        <v>797</v>
      </c>
      <c r="C464" s="2" t="s">
        <v>72</v>
      </c>
      <c r="D464" s="2" t="s">
        <v>73</v>
      </c>
      <c r="E464" s="2" t="s">
        <v>78</v>
      </c>
      <c r="F464" s="2" t="s">
        <v>34</v>
      </c>
      <c r="G464" s="2" t="s">
        <v>98</v>
      </c>
      <c r="H464" s="3">
        <v>10087</v>
      </c>
      <c r="I464" s="4">
        <v>25</v>
      </c>
      <c r="J464" s="5">
        <v>4.76</v>
      </c>
      <c r="K464" s="4">
        <v>85</v>
      </c>
      <c r="L464" s="3">
        <f t="shared" si="21"/>
        <v>1513.0500000000002</v>
      </c>
      <c r="M464" s="3">
        <f t="shared" si="22"/>
        <v>48.930905144133419</v>
      </c>
      <c r="N464" s="3">
        <v>113.4</v>
      </c>
      <c r="O464" s="5">
        <f t="shared" si="23"/>
        <v>43.148946335214653</v>
      </c>
      <c r="P464" s="2" t="s">
        <v>29</v>
      </c>
    </row>
    <row r="465" spans="1:16" x14ac:dyDescent="0.2">
      <c r="A465" s="2" t="s">
        <v>798</v>
      </c>
      <c r="B465" s="2" t="s">
        <v>212</v>
      </c>
      <c r="C465" s="2" t="s">
        <v>72</v>
      </c>
      <c r="D465" s="2" t="s">
        <v>73</v>
      </c>
      <c r="E465" s="2" t="s">
        <v>114</v>
      </c>
      <c r="F465" s="2" t="s">
        <v>28</v>
      </c>
      <c r="G465" s="2" t="s">
        <v>44</v>
      </c>
      <c r="H465" s="3">
        <v>5319</v>
      </c>
      <c r="I465" s="4">
        <v>30</v>
      </c>
      <c r="J465" s="5">
        <v>5.47</v>
      </c>
      <c r="K465" s="4">
        <v>85</v>
      </c>
      <c r="L465" s="3">
        <f t="shared" si="21"/>
        <v>797.85000000000014</v>
      </c>
      <c r="M465" s="3">
        <f t="shared" si="22"/>
        <v>25.585558085823475</v>
      </c>
      <c r="N465" s="3">
        <v>88.6</v>
      </c>
      <c r="O465" s="5">
        <f t="shared" si="23"/>
        <v>28.877605063006186</v>
      </c>
      <c r="P465" s="2" t="s">
        <v>69</v>
      </c>
    </row>
    <row r="466" spans="1:16" x14ac:dyDescent="0.2">
      <c r="A466" s="2" t="s">
        <v>799</v>
      </c>
      <c r="B466" s="2" t="s">
        <v>526</v>
      </c>
      <c r="C466" s="2" t="s">
        <v>62</v>
      </c>
      <c r="D466" s="2" t="s">
        <v>63</v>
      </c>
      <c r="E466" s="2" t="s">
        <v>107</v>
      </c>
      <c r="F466" s="2" t="s">
        <v>21</v>
      </c>
      <c r="G466" s="2" t="s">
        <v>44</v>
      </c>
      <c r="H466" s="3">
        <v>1626</v>
      </c>
      <c r="I466" s="4">
        <v>20</v>
      </c>
      <c r="J466" s="5">
        <v>4.95</v>
      </c>
      <c r="K466" s="4">
        <v>70</v>
      </c>
      <c r="L466" s="3">
        <f t="shared" si="21"/>
        <v>487.80000000000007</v>
      </c>
      <c r="M466" s="3">
        <f t="shared" si="22"/>
        <v>7.480213538495347</v>
      </c>
      <c r="N466" s="3">
        <v>26.8</v>
      </c>
      <c r="O466" s="5">
        <f t="shared" si="23"/>
        <v>27.911244546624431</v>
      </c>
      <c r="P466" s="2" t="s">
        <v>23</v>
      </c>
    </row>
    <row r="467" spans="1:16" x14ac:dyDescent="0.2">
      <c r="A467" s="2" t="s">
        <v>800</v>
      </c>
      <c r="B467" s="2" t="s">
        <v>543</v>
      </c>
      <c r="C467" s="2" t="s">
        <v>18</v>
      </c>
      <c r="D467" s="2" t="s">
        <v>19</v>
      </c>
      <c r="E467" s="2" t="s">
        <v>78</v>
      </c>
      <c r="F467" s="2" t="s">
        <v>34</v>
      </c>
      <c r="G467" s="2" t="s">
        <v>22</v>
      </c>
      <c r="H467" s="3">
        <v>11964</v>
      </c>
      <c r="I467" s="4">
        <v>20</v>
      </c>
      <c r="J467" s="5">
        <v>5.28</v>
      </c>
      <c r="K467" s="4">
        <v>80</v>
      </c>
      <c r="L467" s="3">
        <f t="shared" si="21"/>
        <v>2392.7999999999993</v>
      </c>
      <c r="M467" s="3">
        <f t="shared" si="22"/>
        <v>64.655485721545418</v>
      </c>
      <c r="N467" s="3">
        <v>211.9</v>
      </c>
      <c r="O467" s="5">
        <f t="shared" si="23"/>
        <v>30.512263200351775</v>
      </c>
      <c r="P467" s="2" t="s">
        <v>36</v>
      </c>
    </row>
    <row r="468" spans="1:16" x14ac:dyDescent="0.2">
      <c r="A468" s="2" t="s">
        <v>801</v>
      </c>
      <c r="B468" s="2" t="s">
        <v>441</v>
      </c>
      <c r="C468" s="2" t="s">
        <v>53</v>
      </c>
      <c r="D468" s="2" t="s">
        <v>19</v>
      </c>
      <c r="E468" s="2" t="s">
        <v>33</v>
      </c>
      <c r="F468" s="2" t="s">
        <v>34</v>
      </c>
      <c r="G468" s="2" t="s">
        <v>98</v>
      </c>
      <c r="H468" s="3">
        <v>9667</v>
      </c>
      <c r="I468" s="4">
        <v>25</v>
      </c>
      <c r="J468" s="5">
        <v>5.09</v>
      </c>
      <c r="K468" s="4">
        <v>80</v>
      </c>
      <c r="L468" s="3">
        <f t="shared" si="21"/>
        <v>1933.3999999999996</v>
      </c>
      <c r="M468" s="3">
        <f t="shared" si="22"/>
        <v>45.616302562651427</v>
      </c>
      <c r="N468" s="3">
        <v>109.2</v>
      </c>
      <c r="O468" s="5">
        <f t="shared" si="23"/>
        <v>41.773170844918887</v>
      </c>
      <c r="P468" s="2" t="s">
        <v>36</v>
      </c>
    </row>
    <row r="469" spans="1:16" x14ac:dyDescent="0.2">
      <c r="A469" s="2" t="s">
        <v>802</v>
      </c>
      <c r="B469" s="2" t="s">
        <v>803</v>
      </c>
      <c r="C469" s="2" t="s">
        <v>53</v>
      </c>
      <c r="D469" s="2" t="s">
        <v>19</v>
      </c>
      <c r="E469" s="2" t="s">
        <v>58</v>
      </c>
      <c r="F469" s="2" t="s">
        <v>28</v>
      </c>
      <c r="G469" s="2" t="s">
        <v>22</v>
      </c>
      <c r="H469" s="3">
        <v>5812</v>
      </c>
      <c r="I469" s="4">
        <v>30</v>
      </c>
      <c r="J469" s="5">
        <v>5.12</v>
      </c>
      <c r="K469" s="4">
        <v>85</v>
      </c>
      <c r="L469" s="3">
        <f t="shared" si="21"/>
        <v>871.80000000000018</v>
      </c>
      <c r="M469" s="3">
        <f t="shared" si="22"/>
        <v>26.883549122767125</v>
      </c>
      <c r="N469" s="3">
        <v>61.5</v>
      </c>
      <c r="O469" s="5">
        <f t="shared" si="23"/>
        <v>43.71308800449939</v>
      </c>
      <c r="P469" s="2" t="s">
        <v>36</v>
      </c>
    </row>
    <row r="470" spans="1:16" x14ac:dyDescent="0.2">
      <c r="A470" s="2" t="s">
        <v>804</v>
      </c>
      <c r="B470" s="2" t="s">
        <v>52</v>
      </c>
      <c r="C470" s="2" t="s">
        <v>62</v>
      </c>
      <c r="D470" s="2" t="s">
        <v>63</v>
      </c>
      <c r="E470" s="2" t="s">
        <v>20</v>
      </c>
      <c r="F470" s="2" t="s">
        <v>59</v>
      </c>
      <c r="G470" s="2" t="s">
        <v>35</v>
      </c>
      <c r="H470" s="3">
        <v>8958</v>
      </c>
      <c r="I470" s="4">
        <v>15</v>
      </c>
      <c r="J470" s="5">
        <v>4.3099999999999996</v>
      </c>
      <c r="K470" s="4">
        <v>80</v>
      </c>
      <c r="L470" s="3">
        <f t="shared" si="21"/>
        <v>1791.5999999999997</v>
      </c>
      <c r="M470" s="3">
        <f t="shared" si="22"/>
        <v>54.129156511062789</v>
      </c>
      <c r="N470" s="3">
        <v>107.8</v>
      </c>
      <c r="O470" s="5">
        <f t="shared" si="23"/>
        <v>50.21257561323079</v>
      </c>
      <c r="P470" s="2" t="s">
        <v>36</v>
      </c>
    </row>
    <row r="471" spans="1:16" x14ac:dyDescent="0.2">
      <c r="A471" s="2" t="s">
        <v>805</v>
      </c>
      <c r="B471" s="2" t="s">
        <v>38</v>
      </c>
      <c r="C471" s="2" t="s">
        <v>146</v>
      </c>
      <c r="D471" s="2" t="s">
        <v>19</v>
      </c>
      <c r="E471" s="2" t="s">
        <v>74</v>
      </c>
      <c r="F471" s="2" t="s">
        <v>34</v>
      </c>
      <c r="G471" s="2" t="s">
        <v>22</v>
      </c>
      <c r="H471" s="3">
        <v>3321</v>
      </c>
      <c r="I471" s="4">
        <v>30</v>
      </c>
      <c r="J471" s="5">
        <v>5.18</v>
      </c>
      <c r="K471" s="4">
        <v>70</v>
      </c>
      <c r="L471" s="3">
        <f t="shared" si="21"/>
        <v>996.30000000000018</v>
      </c>
      <c r="M471" s="3">
        <f t="shared" si="22"/>
        <v>12.73647423065561</v>
      </c>
      <c r="N471" s="3">
        <v>37.700000000000003</v>
      </c>
      <c r="O471" s="5">
        <f t="shared" si="23"/>
        <v>33.783751274948564</v>
      </c>
      <c r="P471" s="2" t="s">
        <v>69</v>
      </c>
    </row>
    <row r="472" spans="1:16" x14ac:dyDescent="0.2">
      <c r="A472" s="2" t="s">
        <v>806</v>
      </c>
      <c r="B472" s="2" t="s">
        <v>457</v>
      </c>
      <c r="C472" s="2" t="s">
        <v>26</v>
      </c>
      <c r="D472" s="2" t="s">
        <v>27</v>
      </c>
      <c r="E472" s="2" t="s">
        <v>68</v>
      </c>
      <c r="F472" s="2" t="s">
        <v>59</v>
      </c>
      <c r="G472" s="2" t="s">
        <v>98</v>
      </c>
      <c r="H472" s="3">
        <v>4389</v>
      </c>
      <c r="I472" s="4">
        <v>20</v>
      </c>
      <c r="J472" s="5">
        <v>5.33</v>
      </c>
      <c r="K472" s="4">
        <v>80</v>
      </c>
      <c r="L472" s="3">
        <f t="shared" si="21"/>
        <v>877.79999999999984</v>
      </c>
      <c r="M472" s="3">
        <f t="shared" si="22"/>
        <v>23.81721456784328</v>
      </c>
      <c r="N472" s="3">
        <v>66.900000000000006</v>
      </c>
      <c r="O472" s="5">
        <f t="shared" si="23"/>
        <v>35.601217590199219</v>
      </c>
      <c r="P472" s="2" t="s">
        <v>36</v>
      </c>
    </row>
    <row r="473" spans="1:16" x14ac:dyDescent="0.2">
      <c r="A473" s="2" t="s">
        <v>807</v>
      </c>
      <c r="B473" s="2" t="s">
        <v>185</v>
      </c>
      <c r="C473" s="2" t="s">
        <v>72</v>
      </c>
      <c r="D473" s="2" t="s">
        <v>73</v>
      </c>
      <c r="E473" s="2" t="s">
        <v>114</v>
      </c>
      <c r="F473" s="2" t="s">
        <v>28</v>
      </c>
      <c r="G473" s="2" t="s">
        <v>44</v>
      </c>
      <c r="H473" s="3">
        <v>15126</v>
      </c>
      <c r="I473" s="4">
        <v>25</v>
      </c>
      <c r="J473" s="5">
        <v>4.04</v>
      </c>
      <c r="K473" s="4">
        <v>80</v>
      </c>
      <c r="L473" s="3">
        <f t="shared" si="21"/>
        <v>3025.1999999999994</v>
      </c>
      <c r="M473" s="3">
        <f t="shared" si="22"/>
        <v>64.14004355439026</v>
      </c>
      <c r="N473" s="3">
        <v>186.9</v>
      </c>
      <c r="O473" s="5">
        <f t="shared" si="23"/>
        <v>34.317840318025823</v>
      </c>
      <c r="P473" s="2" t="s">
        <v>23</v>
      </c>
    </row>
    <row r="474" spans="1:16" x14ac:dyDescent="0.2">
      <c r="A474" s="2" t="s">
        <v>808</v>
      </c>
      <c r="B474" s="2" t="s">
        <v>355</v>
      </c>
      <c r="C474" s="2" t="s">
        <v>77</v>
      </c>
      <c r="D474" s="2" t="s">
        <v>19</v>
      </c>
      <c r="E474" s="2" t="s">
        <v>41</v>
      </c>
      <c r="F474" s="2" t="s">
        <v>34</v>
      </c>
      <c r="G474" s="2" t="s">
        <v>44</v>
      </c>
      <c r="H474" s="3">
        <v>6311</v>
      </c>
      <c r="I474" s="4">
        <v>20</v>
      </c>
      <c r="J474" s="5">
        <v>5</v>
      </c>
      <c r="K474" s="4">
        <v>90</v>
      </c>
      <c r="L474" s="3">
        <f t="shared" si="21"/>
        <v>631.09999999999991</v>
      </c>
      <c r="M474" s="3">
        <f t="shared" si="22"/>
        <v>37.484826031766922</v>
      </c>
      <c r="N474" s="3">
        <v>93.1</v>
      </c>
      <c r="O474" s="5">
        <f t="shared" si="23"/>
        <v>40.26297103304718</v>
      </c>
      <c r="P474" s="2" t="s">
        <v>36</v>
      </c>
    </row>
    <row r="475" spans="1:16" x14ac:dyDescent="0.2">
      <c r="A475" s="2" t="s">
        <v>809</v>
      </c>
      <c r="B475" s="2" t="s">
        <v>617</v>
      </c>
      <c r="C475" s="2" t="s">
        <v>146</v>
      </c>
      <c r="D475" s="2" t="s">
        <v>19</v>
      </c>
      <c r="E475" s="2" t="s">
        <v>156</v>
      </c>
      <c r="F475" s="2" t="s">
        <v>21</v>
      </c>
      <c r="G475" s="2" t="s">
        <v>22</v>
      </c>
      <c r="H475" s="3">
        <v>10294</v>
      </c>
      <c r="I475" s="4">
        <v>25</v>
      </c>
      <c r="J475" s="5">
        <v>4.16</v>
      </c>
      <c r="K475" s="4">
        <v>75</v>
      </c>
      <c r="L475" s="3">
        <f t="shared" si="21"/>
        <v>2573.5</v>
      </c>
      <c r="M475" s="3">
        <f t="shared" si="22"/>
        <v>41.436793372461281</v>
      </c>
      <c r="N475" s="3">
        <v>169.5</v>
      </c>
      <c r="O475" s="5">
        <f t="shared" si="23"/>
        <v>24.446485765463883</v>
      </c>
      <c r="P475" s="2" t="s">
        <v>36</v>
      </c>
    </row>
    <row r="476" spans="1:16" x14ac:dyDescent="0.2">
      <c r="A476" s="2" t="s">
        <v>810</v>
      </c>
      <c r="B476" s="2" t="s">
        <v>118</v>
      </c>
      <c r="C476" s="2" t="s">
        <v>32</v>
      </c>
      <c r="D476" s="2" t="s">
        <v>32</v>
      </c>
      <c r="E476" s="2" t="s">
        <v>49</v>
      </c>
      <c r="F476" s="2" t="s">
        <v>28</v>
      </c>
      <c r="G476" s="2" t="s">
        <v>98</v>
      </c>
      <c r="H476" s="3">
        <v>12812</v>
      </c>
      <c r="I476" s="4">
        <v>25</v>
      </c>
      <c r="J476" s="5">
        <v>5.16</v>
      </c>
      <c r="K476" s="4">
        <v>80</v>
      </c>
      <c r="L476" s="3">
        <f t="shared" si="21"/>
        <v>2562.3999999999996</v>
      </c>
      <c r="M476" s="3">
        <f t="shared" si="22"/>
        <v>60.877480916412665</v>
      </c>
      <c r="N476" s="3">
        <v>184.9</v>
      </c>
      <c r="O476" s="5">
        <f t="shared" si="23"/>
        <v>32.924543491840275</v>
      </c>
      <c r="P476" s="2" t="s">
        <v>36</v>
      </c>
    </row>
    <row r="477" spans="1:16" x14ac:dyDescent="0.2">
      <c r="A477" s="2" t="s">
        <v>811</v>
      </c>
      <c r="B477" s="2" t="s">
        <v>812</v>
      </c>
      <c r="C477" s="2" t="s">
        <v>32</v>
      </c>
      <c r="D477" s="2" t="s">
        <v>32</v>
      </c>
      <c r="E477" s="2" t="s">
        <v>74</v>
      </c>
      <c r="F477" s="2" t="s">
        <v>21</v>
      </c>
      <c r="G477" s="2" t="s">
        <v>22</v>
      </c>
      <c r="H477" s="3">
        <v>5766</v>
      </c>
      <c r="I477" s="4">
        <v>20</v>
      </c>
      <c r="J477" s="5">
        <v>4.63</v>
      </c>
      <c r="K477" s="4">
        <v>70</v>
      </c>
      <c r="L477" s="3">
        <f t="shared" si="21"/>
        <v>1729.8000000000002</v>
      </c>
      <c r="M477" s="3">
        <f t="shared" si="22"/>
        <v>25.819094857503782</v>
      </c>
      <c r="N477" s="3">
        <v>70.2</v>
      </c>
      <c r="O477" s="5">
        <f t="shared" si="23"/>
        <v>36.779337403851535</v>
      </c>
      <c r="P477" s="2" t="s">
        <v>69</v>
      </c>
    </row>
    <row r="478" spans="1:16" x14ac:dyDescent="0.2">
      <c r="A478" s="2" t="s">
        <v>813</v>
      </c>
      <c r="B478" s="2" t="s">
        <v>626</v>
      </c>
      <c r="C478" s="2" t="s">
        <v>32</v>
      </c>
      <c r="D478" s="2" t="s">
        <v>32</v>
      </c>
      <c r="E478" s="2" t="s">
        <v>41</v>
      </c>
      <c r="F478" s="2" t="s">
        <v>59</v>
      </c>
      <c r="G478" s="2" t="s">
        <v>44</v>
      </c>
      <c r="H478" s="3">
        <v>1755</v>
      </c>
      <c r="I478" s="4">
        <v>30</v>
      </c>
      <c r="J478" s="5">
        <v>4.9800000000000004</v>
      </c>
      <c r="K478" s="4">
        <v>80</v>
      </c>
      <c r="L478" s="3">
        <f t="shared" si="21"/>
        <v>350.99999999999994</v>
      </c>
      <c r="M478" s="3">
        <f t="shared" si="22"/>
        <v>7.5198236270295604</v>
      </c>
      <c r="N478" s="3">
        <v>28.2</v>
      </c>
      <c r="O478" s="5">
        <f t="shared" si="23"/>
        <v>26.66604123060128</v>
      </c>
      <c r="P478" s="2" t="s">
        <v>36</v>
      </c>
    </row>
    <row r="479" spans="1:16" x14ac:dyDescent="0.2">
      <c r="A479" s="2" t="s">
        <v>814</v>
      </c>
      <c r="B479" s="2" t="s">
        <v>511</v>
      </c>
      <c r="C479" s="2" t="s">
        <v>72</v>
      </c>
      <c r="D479" s="2" t="s">
        <v>73</v>
      </c>
      <c r="E479" s="2" t="s">
        <v>49</v>
      </c>
      <c r="F479" s="2" t="s">
        <v>59</v>
      </c>
      <c r="G479" s="2" t="s">
        <v>35</v>
      </c>
      <c r="H479" s="3">
        <v>16774</v>
      </c>
      <c r="I479" s="4">
        <v>30</v>
      </c>
      <c r="J479" s="5">
        <v>5.19</v>
      </c>
      <c r="K479" s="4">
        <v>85</v>
      </c>
      <c r="L479" s="3">
        <f t="shared" si="21"/>
        <v>2516.1000000000004</v>
      </c>
      <c r="M479" s="3">
        <f t="shared" si="22"/>
        <v>78.203625577942304</v>
      </c>
      <c r="N479" s="3">
        <v>200.1</v>
      </c>
      <c r="O479" s="5">
        <f t="shared" si="23"/>
        <v>39.082271653144581</v>
      </c>
      <c r="P479" s="2" t="s">
        <v>36</v>
      </c>
    </row>
    <row r="480" spans="1:16" x14ac:dyDescent="0.2">
      <c r="A480" s="2" t="s">
        <v>815</v>
      </c>
      <c r="B480" s="2" t="s">
        <v>504</v>
      </c>
      <c r="C480" s="2" t="s">
        <v>91</v>
      </c>
      <c r="D480" s="2" t="s">
        <v>92</v>
      </c>
      <c r="E480" s="2" t="s">
        <v>74</v>
      </c>
      <c r="F480" s="2" t="s">
        <v>34</v>
      </c>
      <c r="G480" s="2" t="s">
        <v>22</v>
      </c>
      <c r="H480" s="3">
        <v>13877</v>
      </c>
      <c r="I480" s="4">
        <v>20</v>
      </c>
      <c r="J480" s="5">
        <v>5.04</v>
      </c>
      <c r="K480" s="4">
        <v>80</v>
      </c>
      <c r="L480" s="3">
        <f t="shared" si="21"/>
        <v>2775.3999999999992</v>
      </c>
      <c r="M480" s="3">
        <f t="shared" si="22"/>
        <v>73.511178751835288</v>
      </c>
      <c r="N480" s="3">
        <v>181.3</v>
      </c>
      <c r="O480" s="5">
        <f t="shared" si="23"/>
        <v>40.546706426825857</v>
      </c>
      <c r="P480" s="2" t="s">
        <v>36</v>
      </c>
    </row>
    <row r="481" spans="1:16" x14ac:dyDescent="0.2">
      <c r="A481" s="2" t="s">
        <v>816</v>
      </c>
      <c r="B481" s="2" t="s">
        <v>817</v>
      </c>
      <c r="C481" s="2" t="s">
        <v>67</v>
      </c>
      <c r="D481" s="2" t="s">
        <v>67</v>
      </c>
      <c r="E481" s="2" t="s">
        <v>156</v>
      </c>
      <c r="F481" s="2" t="s">
        <v>34</v>
      </c>
      <c r="G481" s="2" t="s">
        <v>98</v>
      </c>
      <c r="H481" s="3">
        <v>13151</v>
      </c>
      <c r="I481" s="4">
        <v>25</v>
      </c>
      <c r="J481" s="5">
        <v>5.53</v>
      </c>
      <c r="K481" s="4">
        <v>75</v>
      </c>
      <c r="L481" s="3">
        <f t="shared" si="21"/>
        <v>3287.75</v>
      </c>
      <c r="M481" s="3">
        <f t="shared" si="22"/>
        <v>60.745819866435163</v>
      </c>
      <c r="N481" s="3">
        <v>182.6</v>
      </c>
      <c r="O481" s="5">
        <f t="shared" si="23"/>
        <v>33.267152172198884</v>
      </c>
      <c r="P481" s="2" t="s">
        <v>36</v>
      </c>
    </row>
    <row r="482" spans="1:16" x14ac:dyDescent="0.2">
      <c r="A482" s="2" t="s">
        <v>818</v>
      </c>
      <c r="B482" s="2" t="s">
        <v>684</v>
      </c>
      <c r="C482" s="2" t="s">
        <v>146</v>
      </c>
      <c r="D482" s="2" t="s">
        <v>19</v>
      </c>
      <c r="E482" s="2" t="s">
        <v>114</v>
      </c>
      <c r="F482" s="2" t="s">
        <v>59</v>
      </c>
      <c r="G482" s="2" t="s">
        <v>22</v>
      </c>
      <c r="H482" s="3">
        <v>1611</v>
      </c>
      <c r="I482" s="4">
        <v>30</v>
      </c>
      <c r="J482" s="5">
        <v>4.57</v>
      </c>
      <c r="K482" s="4">
        <v>75</v>
      </c>
      <c r="L482" s="3">
        <f t="shared" si="21"/>
        <v>402.75</v>
      </c>
      <c r="M482" s="3">
        <f t="shared" si="22"/>
        <v>6.1723817093300912</v>
      </c>
      <c r="N482" s="3">
        <v>20.6</v>
      </c>
      <c r="O482" s="5">
        <f t="shared" si="23"/>
        <v>29.963018006456753</v>
      </c>
      <c r="P482" s="2" t="s">
        <v>36</v>
      </c>
    </row>
    <row r="483" spans="1:16" x14ac:dyDescent="0.2">
      <c r="A483" s="2" t="s">
        <v>819</v>
      </c>
      <c r="B483" s="2" t="s">
        <v>612</v>
      </c>
      <c r="C483" s="2" t="s">
        <v>53</v>
      </c>
      <c r="D483" s="2" t="s">
        <v>19</v>
      </c>
      <c r="E483" s="2" t="s">
        <v>64</v>
      </c>
      <c r="F483" s="2" t="s">
        <v>28</v>
      </c>
      <c r="G483" s="2" t="s">
        <v>22</v>
      </c>
      <c r="H483" s="3">
        <v>17332</v>
      </c>
      <c r="I483" s="4">
        <v>30</v>
      </c>
      <c r="J483" s="5">
        <v>5.79</v>
      </c>
      <c r="K483" s="4">
        <v>80</v>
      </c>
      <c r="L483" s="3">
        <f t="shared" si="21"/>
        <v>3466.3999999999992</v>
      </c>
      <c r="M483" s="3">
        <f t="shared" si="22"/>
        <v>81.268553251516579</v>
      </c>
      <c r="N483" s="3">
        <v>236.9</v>
      </c>
      <c r="O483" s="5">
        <f t="shared" si="23"/>
        <v>34.305003483122235</v>
      </c>
      <c r="P483" s="2" t="s">
        <v>36</v>
      </c>
    </row>
    <row r="484" spans="1:16" x14ac:dyDescent="0.2">
      <c r="A484" s="2" t="s">
        <v>820</v>
      </c>
      <c r="B484" s="2" t="s">
        <v>821</v>
      </c>
      <c r="C484" s="2" t="s">
        <v>32</v>
      </c>
      <c r="D484" s="2" t="s">
        <v>32</v>
      </c>
      <c r="E484" s="2" t="s">
        <v>177</v>
      </c>
      <c r="F484" s="2" t="s">
        <v>59</v>
      </c>
      <c r="G484" s="2" t="s">
        <v>44</v>
      </c>
      <c r="H484" s="3">
        <v>5763</v>
      </c>
      <c r="I484" s="4">
        <v>20</v>
      </c>
      <c r="J484" s="5">
        <v>4.25</v>
      </c>
      <c r="K484" s="4">
        <v>80</v>
      </c>
      <c r="L484" s="3">
        <f t="shared" si="21"/>
        <v>1152.5999999999997</v>
      </c>
      <c r="M484" s="3">
        <f t="shared" si="22"/>
        <v>28.549185966826577</v>
      </c>
      <c r="N484" s="3">
        <v>64</v>
      </c>
      <c r="O484" s="5">
        <f t="shared" si="23"/>
        <v>44.608103073166525</v>
      </c>
      <c r="P484" s="2" t="s">
        <v>36</v>
      </c>
    </row>
    <row r="485" spans="1:16" x14ac:dyDescent="0.2">
      <c r="A485" s="2" t="s">
        <v>822</v>
      </c>
      <c r="B485" s="2" t="s">
        <v>823</v>
      </c>
      <c r="C485" s="2" t="s">
        <v>72</v>
      </c>
      <c r="D485" s="2" t="s">
        <v>73</v>
      </c>
      <c r="E485" s="2" t="s">
        <v>64</v>
      </c>
      <c r="F485" s="2" t="s">
        <v>50</v>
      </c>
      <c r="G485" s="2" t="s">
        <v>22</v>
      </c>
      <c r="H485" s="3">
        <v>12104</v>
      </c>
      <c r="I485" s="4">
        <v>25</v>
      </c>
      <c r="J485" s="5">
        <v>4.18</v>
      </c>
      <c r="K485" s="4">
        <v>80</v>
      </c>
      <c r="L485" s="3">
        <f t="shared" si="21"/>
        <v>2420.7999999999993</v>
      </c>
      <c r="M485" s="3">
        <f t="shared" si="22"/>
        <v>52.07878390374303</v>
      </c>
      <c r="N485" s="3">
        <v>184.4</v>
      </c>
      <c r="O485" s="5">
        <f t="shared" si="23"/>
        <v>28.242290620251097</v>
      </c>
      <c r="P485" s="2" t="s">
        <v>23</v>
      </c>
    </row>
    <row r="486" spans="1:16" x14ac:dyDescent="0.2">
      <c r="A486" s="2" t="s">
        <v>824</v>
      </c>
      <c r="B486" s="2" t="s">
        <v>196</v>
      </c>
      <c r="C486" s="2" t="s">
        <v>26</v>
      </c>
      <c r="D486" s="2" t="s">
        <v>27</v>
      </c>
      <c r="E486" s="2" t="s">
        <v>74</v>
      </c>
      <c r="F486" s="2" t="s">
        <v>59</v>
      </c>
      <c r="G486" s="2" t="s">
        <v>44</v>
      </c>
      <c r="H486" s="3">
        <v>16291</v>
      </c>
      <c r="I486" s="4">
        <v>30</v>
      </c>
      <c r="J486" s="5">
        <v>4.42</v>
      </c>
      <c r="K486" s="4">
        <v>80</v>
      </c>
      <c r="L486" s="3">
        <f t="shared" si="21"/>
        <v>3258.1999999999994</v>
      </c>
      <c r="M486" s="3">
        <f t="shared" si="22"/>
        <v>65.417227863570673</v>
      </c>
      <c r="N486" s="3">
        <v>263.60000000000002</v>
      </c>
      <c r="O486" s="5">
        <f t="shared" si="23"/>
        <v>24.816854272978251</v>
      </c>
      <c r="P486" s="2" t="s">
        <v>36</v>
      </c>
    </row>
    <row r="487" spans="1:16" x14ac:dyDescent="0.2">
      <c r="A487" s="2" t="s">
        <v>825</v>
      </c>
      <c r="B487" s="2" t="s">
        <v>826</v>
      </c>
      <c r="C487" s="2" t="s">
        <v>119</v>
      </c>
      <c r="D487" s="2" t="s">
        <v>120</v>
      </c>
      <c r="E487" s="2" t="s">
        <v>97</v>
      </c>
      <c r="F487" s="2" t="s">
        <v>59</v>
      </c>
      <c r="G487" s="2" t="s">
        <v>22</v>
      </c>
      <c r="H487" s="3">
        <v>10867</v>
      </c>
      <c r="I487" s="4">
        <v>15</v>
      </c>
      <c r="J487" s="5">
        <v>5.42</v>
      </c>
      <c r="K487" s="4">
        <v>80</v>
      </c>
      <c r="L487" s="3">
        <f t="shared" si="21"/>
        <v>2173.3999999999996</v>
      </c>
      <c r="M487" s="3">
        <f t="shared" si="22"/>
        <v>70.665443200840002</v>
      </c>
      <c r="N487" s="3">
        <v>148.4</v>
      </c>
      <c r="O487" s="5">
        <f t="shared" si="23"/>
        <v>47.618223181159031</v>
      </c>
      <c r="P487" s="2" t="s">
        <v>36</v>
      </c>
    </row>
    <row r="488" spans="1:16" x14ac:dyDescent="0.2">
      <c r="A488" s="2" t="s">
        <v>827</v>
      </c>
      <c r="B488" s="2" t="s">
        <v>164</v>
      </c>
      <c r="C488" s="2" t="s">
        <v>56</v>
      </c>
      <c r="D488" s="2" t="s">
        <v>57</v>
      </c>
      <c r="E488" s="2" t="s">
        <v>156</v>
      </c>
      <c r="F488" s="2" t="s">
        <v>50</v>
      </c>
      <c r="G488" s="2" t="s">
        <v>98</v>
      </c>
      <c r="H488" s="3">
        <v>15521</v>
      </c>
      <c r="I488" s="4">
        <v>20</v>
      </c>
      <c r="J488" s="5">
        <v>4.63</v>
      </c>
      <c r="K488" s="4">
        <v>85</v>
      </c>
      <c r="L488" s="3">
        <f t="shared" si="21"/>
        <v>2328.1500000000005</v>
      </c>
      <c r="M488" s="3">
        <f t="shared" si="22"/>
        <v>84.393103808240113</v>
      </c>
      <c r="N488" s="3">
        <v>167.2</v>
      </c>
      <c r="O488" s="5">
        <f t="shared" si="23"/>
        <v>50.474344382918737</v>
      </c>
      <c r="P488" s="2" t="s">
        <v>36</v>
      </c>
    </row>
    <row r="489" spans="1:16" x14ac:dyDescent="0.2">
      <c r="A489" s="2" t="s">
        <v>828</v>
      </c>
      <c r="B489" s="2" t="s">
        <v>608</v>
      </c>
      <c r="C489" s="2" t="s">
        <v>18</v>
      </c>
      <c r="D489" s="2" t="s">
        <v>19</v>
      </c>
      <c r="E489" s="2" t="s">
        <v>74</v>
      </c>
      <c r="F489" s="2" t="s">
        <v>21</v>
      </c>
      <c r="G489" s="2" t="s">
        <v>22</v>
      </c>
      <c r="H489" s="3">
        <v>17312</v>
      </c>
      <c r="I489" s="4">
        <v>30</v>
      </c>
      <c r="J489" s="5">
        <v>4.96</v>
      </c>
      <c r="K489" s="4">
        <v>90</v>
      </c>
      <c r="L489" s="3">
        <f t="shared" si="21"/>
        <v>1731.1999999999996</v>
      </c>
      <c r="M489" s="3">
        <f t="shared" si="22"/>
        <v>83.260625457710503</v>
      </c>
      <c r="N489" s="3">
        <v>253.5</v>
      </c>
      <c r="O489" s="5">
        <f t="shared" si="23"/>
        <v>32.84442818844596</v>
      </c>
      <c r="P489" s="2" t="s">
        <v>36</v>
      </c>
    </row>
    <row r="490" spans="1:16" x14ac:dyDescent="0.2">
      <c r="A490" s="2" t="s">
        <v>829</v>
      </c>
      <c r="B490" s="2" t="s">
        <v>830</v>
      </c>
      <c r="C490" s="2" t="s">
        <v>56</v>
      </c>
      <c r="D490" s="2" t="s">
        <v>57</v>
      </c>
      <c r="E490" s="2" t="s">
        <v>74</v>
      </c>
      <c r="F490" s="2" t="s">
        <v>28</v>
      </c>
      <c r="G490" s="2" t="s">
        <v>22</v>
      </c>
      <c r="H490" s="3">
        <v>6194</v>
      </c>
      <c r="I490" s="4">
        <v>20</v>
      </c>
      <c r="J490" s="5">
        <v>5.14</v>
      </c>
      <c r="K490" s="4">
        <v>85</v>
      </c>
      <c r="L490" s="3">
        <f t="shared" si="21"/>
        <v>929.10000000000014</v>
      </c>
      <c r="M490" s="3">
        <f t="shared" si="22"/>
        <v>35.154479735882688</v>
      </c>
      <c r="N490" s="3">
        <v>93</v>
      </c>
      <c r="O490" s="5">
        <f t="shared" si="23"/>
        <v>37.80051584503515</v>
      </c>
      <c r="P490" s="2" t="s">
        <v>36</v>
      </c>
    </row>
    <row r="491" spans="1:16" x14ac:dyDescent="0.2">
      <c r="A491" s="2" t="s">
        <v>831</v>
      </c>
      <c r="B491" s="2" t="s">
        <v>350</v>
      </c>
      <c r="C491" s="2" t="s">
        <v>77</v>
      </c>
      <c r="D491" s="2" t="s">
        <v>19</v>
      </c>
      <c r="E491" s="2" t="s">
        <v>97</v>
      </c>
      <c r="F491" s="2" t="s">
        <v>21</v>
      </c>
      <c r="G491" s="2" t="s">
        <v>44</v>
      </c>
      <c r="H491" s="3">
        <v>3957</v>
      </c>
      <c r="I491" s="4">
        <v>30</v>
      </c>
      <c r="J491" s="5">
        <v>3.99</v>
      </c>
      <c r="K491" s="4">
        <v>75</v>
      </c>
      <c r="L491" s="3">
        <f t="shared" si="21"/>
        <v>989.25</v>
      </c>
      <c r="M491" s="3">
        <f t="shared" si="22"/>
        <v>14.151388319505548</v>
      </c>
      <c r="N491" s="3">
        <v>59.7</v>
      </c>
      <c r="O491" s="5">
        <f t="shared" si="23"/>
        <v>23.704168039372775</v>
      </c>
      <c r="P491" s="2" t="s">
        <v>36</v>
      </c>
    </row>
    <row r="492" spans="1:16" x14ac:dyDescent="0.2">
      <c r="A492" s="2" t="s">
        <v>832</v>
      </c>
      <c r="B492" s="2" t="s">
        <v>353</v>
      </c>
      <c r="C492" s="2" t="s">
        <v>53</v>
      </c>
      <c r="D492" s="2" t="s">
        <v>19</v>
      </c>
      <c r="E492" s="2" t="s">
        <v>88</v>
      </c>
      <c r="F492" s="2" t="s">
        <v>50</v>
      </c>
      <c r="G492" s="2" t="s">
        <v>22</v>
      </c>
      <c r="H492" s="3">
        <v>16294</v>
      </c>
      <c r="I492" s="4">
        <v>15</v>
      </c>
      <c r="J492" s="5">
        <v>3.94</v>
      </c>
      <c r="K492" s="4">
        <v>80</v>
      </c>
      <c r="L492" s="3">
        <f t="shared" si="21"/>
        <v>3258.7999999999993</v>
      </c>
      <c r="M492" s="3">
        <f t="shared" si="22"/>
        <v>96.028335370228106</v>
      </c>
      <c r="N492" s="3">
        <v>223.4</v>
      </c>
      <c r="O492" s="5">
        <f t="shared" si="23"/>
        <v>42.984930783450359</v>
      </c>
      <c r="P492" s="2" t="s">
        <v>36</v>
      </c>
    </row>
    <row r="493" spans="1:16" x14ac:dyDescent="0.2">
      <c r="A493" s="2" t="s">
        <v>833</v>
      </c>
      <c r="B493" s="2" t="s">
        <v>668</v>
      </c>
      <c r="C493" s="2" t="s">
        <v>119</v>
      </c>
      <c r="D493" s="2" t="s">
        <v>120</v>
      </c>
      <c r="E493" s="2" t="s">
        <v>156</v>
      </c>
      <c r="F493" s="2" t="s">
        <v>28</v>
      </c>
      <c r="G493" s="2" t="s">
        <v>44</v>
      </c>
      <c r="H493" s="3">
        <v>17425</v>
      </c>
      <c r="I493" s="4">
        <v>20</v>
      </c>
      <c r="J493" s="5">
        <v>5.46</v>
      </c>
      <c r="K493" s="4">
        <v>70</v>
      </c>
      <c r="L493" s="3">
        <f t="shared" si="21"/>
        <v>5227.5000000000009</v>
      </c>
      <c r="M493" s="3">
        <f t="shared" si="22"/>
        <v>83.629728523057253</v>
      </c>
      <c r="N493" s="3">
        <v>315.89999999999998</v>
      </c>
      <c r="O493" s="5">
        <f t="shared" si="23"/>
        <v>26.473481647058328</v>
      </c>
      <c r="P493" s="2" t="s">
        <v>36</v>
      </c>
    </row>
    <row r="494" spans="1:16" x14ac:dyDescent="0.2">
      <c r="A494" s="2" t="s">
        <v>834</v>
      </c>
      <c r="B494" s="2" t="s">
        <v>25</v>
      </c>
      <c r="C494" s="2" t="s">
        <v>47</v>
      </c>
      <c r="D494" s="2" t="s">
        <v>48</v>
      </c>
      <c r="E494" s="2" t="s">
        <v>81</v>
      </c>
      <c r="F494" s="2" t="s">
        <v>50</v>
      </c>
      <c r="G494" s="2" t="s">
        <v>22</v>
      </c>
      <c r="H494" s="3">
        <v>3000</v>
      </c>
      <c r="I494" s="4">
        <v>30</v>
      </c>
      <c r="J494" s="5">
        <v>5.56</v>
      </c>
      <c r="K494" s="4">
        <v>90</v>
      </c>
      <c r="L494" s="3">
        <f t="shared" si="21"/>
        <v>299.99999999999994</v>
      </c>
      <c r="M494" s="3">
        <f t="shared" si="22"/>
        <v>15.432098287744228</v>
      </c>
      <c r="N494" s="3">
        <v>32.799999999999997</v>
      </c>
      <c r="O494" s="5">
        <f t="shared" si="23"/>
        <v>47.049080145561675</v>
      </c>
      <c r="P494" s="2" t="s">
        <v>36</v>
      </c>
    </row>
    <row r="495" spans="1:16" x14ac:dyDescent="0.2">
      <c r="A495" s="2" t="s">
        <v>835</v>
      </c>
      <c r="B495" s="2" t="s">
        <v>415</v>
      </c>
      <c r="C495" s="2" t="s">
        <v>91</v>
      </c>
      <c r="D495" s="2" t="s">
        <v>92</v>
      </c>
      <c r="E495" s="2" t="s">
        <v>97</v>
      </c>
      <c r="F495" s="2" t="s">
        <v>50</v>
      </c>
      <c r="G495" s="2" t="s">
        <v>44</v>
      </c>
      <c r="H495" s="3">
        <v>15213</v>
      </c>
      <c r="I495" s="4">
        <v>15</v>
      </c>
      <c r="J495" s="5">
        <v>5.56</v>
      </c>
      <c r="K495" s="4">
        <v>90</v>
      </c>
      <c r="L495" s="3">
        <f t="shared" si="21"/>
        <v>1521.2999999999997</v>
      </c>
      <c r="M495" s="3">
        <f t="shared" si="22"/>
        <v>112.30902397803727</v>
      </c>
      <c r="N495" s="3">
        <v>182.2</v>
      </c>
      <c r="O495" s="5">
        <f t="shared" si="23"/>
        <v>61.640518099910693</v>
      </c>
      <c r="P495" s="2" t="s">
        <v>29</v>
      </c>
    </row>
    <row r="496" spans="1:16" x14ac:dyDescent="0.2">
      <c r="A496" s="2" t="s">
        <v>836</v>
      </c>
      <c r="B496" s="2" t="s">
        <v>411</v>
      </c>
      <c r="C496" s="2" t="s">
        <v>26</v>
      </c>
      <c r="D496" s="2" t="s">
        <v>27</v>
      </c>
      <c r="E496" s="2" t="s">
        <v>41</v>
      </c>
      <c r="F496" s="2" t="s">
        <v>21</v>
      </c>
      <c r="G496" s="2" t="s">
        <v>35</v>
      </c>
      <c r="H496" s="3">
        <v>16307</v>
      </c>
      <c r="I496" s="4">
        <v>25</v>
      </c>
      <c r="J496" s="5">
        <v>5.44</v>
      </c>
      <c r="K496" s="4">
        <v>80</v>
      </c>
      <c r="L496" s="3">
        <f t="shared" si="21"/>
        <v>3261.3999999999992</v>
      </c>
      <c r="M496" s="3">
        <f t="shared" si="22"/>
        <v>79.644626757748767</v>
      </c>
      <c r="N496" s="3">
        <v>256</v>
      </c>
      <c r="O496" s="5">
        <f t="shared" si="23"/>
        <v>31.111182327245611</v>
      </c>
      <c r="P496" s="2" t="s">
        <v>69</v>
      </c>
    </row>
    <row r="497" spans="1:16" x14ac:dyDescent="0.2">
      <c r="A497" s="2" t="s">
        <v>837</v>
      </c>
      <c r="B497" s="2" t="s">
        <v>305</v>
      </c>
      <c r="C497" s="2" t="s">
        <v>18</v>
      </c>
      <c r="D497" s="2" t="s">
        <v>19</v>
      </c>
      <c r="E497" s="2" t="s">
        <v>41</v>
      </c>
      <c r="F497" s="2" t="s">
        <v>59</v>
      </c>
      <c r="G497" s="2" t="s">
        <v>44</v>
      </c>
      <c r="H497" s="3">
        <v>8979</v>
      </c>
      <c r="I497" s="4">
        <v>20</v>
      </c>
      <c r="J497" s="5">
        <v>5.57</v>
      </c>
      <c r="K497" s="4">
        <v>85</v>
      </c>
      <c r="L497" s="3">
        <f t="shared" si="21"/>
        <v>1346.8500000000001</v>
      </c>
      <c r="M497" s="3">
        <f t="shared" si="22"/>
        <v>52.802792268552729</v>
      </c>
      <c r="N497" s="3">
        <v>160.69999999999999</v>
      </c>
      <c r="O497" s="5">
        <f t="shared" si="23"/>
        <v>32.857991455228827</v>
      </c>
      <c r="P497" s="2" t="s">
        <v>29</v>
      </c>
    </row>
    <row r="498" spans="1:16" x14ac:dyDescent="0.2">
      <c r="A498" s="2" t="s">
        <v>838</v>
      </c>
      <c r="B498" s="2" t="s">
        <v>714</v>
      </c>
      <c r="C498" s="2" t="s">
        <v>53</v>
      </c>
      <c r="D498" s="2" t="s">
        <v>19</v>
      </c>
      <c r="E498" s="2" t="s">
        <v>88</v>
      </c>
      <c r="F498" s="2" t="s">
        <v>59</v>
      </c>
      <c r="G498" s="2" t="s">
        <v>35</v>
      </c>
      <c r="H498" s="3">
        <v>2156</v>
      </c>
      <c r="I498" s="4">
        <v>30</v>
      </c>
      <c r="J498" s="5">
        <v>5.22</v>
      </c>
      <c r="K498" s="4">
        <v>80</v>
      </c>
      <c r="L498" s="3">
        <f t="shared" si="21"/>
        <v>431.19999999999993</v>
      </c>
      <c r="M498" s="3">
        <f t="shared" si="22"/>
        <v>9.4923856008602865</v>
      </c>
      <c r="N498" s="3">
        <v>35.9</v>
      </c>
      <c r="O498" s="5">
        <f t="shared" si="23"/>
        <v>26.441185517716676</v>
      </c>
      <c r="P498" s="2" t="s">
        <v>36</v>
      </c>
    </row>
    <row r="499" spans="1:16" x14ac:dyDescent="0.2">
      <c r="A499" s="2" t="s">
        <v>839</v>
      </c>
      <c r="B499" s="2" t="s">
        <v>840</v>
      </c>
      <c r="C499" s="2" t="s">
        <v>32</v>
      </c>
      <c r="D499" s="2" t="s">
        <v>32</v>
      </c>
      <c r="E499" s="2" t="s">
        <v>49</v>
      </c>
      <c r="F499" s="2" t="s">
        <v>28</v>
      </c>
      <c r="G499" s="2" t="s">
        <v>35</v>
      </c>
      <c r="H499" s="3">
        <v>10896</v>
      </c>
      <c r="I499" s="4">
        <v>20</v>
      </c>
      <c r="J499" s="5">
        <v>5.35</v>
      </c>
      <c r="K499" s="4">
        <v>75</v>
      </c>
      <c r="L499" s="3">
        <f t="shared" si="21"/>
        <v>2724</v>
      </c>
      <c r="M499" s="3">
        <f t="shared" si="22"/>
        <v>55.524077772580021</v>
      </c>
      <c r="N499" s="3">
        <v>181.8</v>
      </c>
      <c r="O499" s="5">
        <f t="shared" si="23"/>
        <v>30.541296904609471</v>
      </c>
      <c r="P499" s="2" t="s">
        <v>36</v>
      </c>
    </row>
    <row r="500" spans="1:16" x14ac:dyDescent="0.2">
      <c r="A500" s="2" t="s">
        <v>841</v>
      </c>
      <c r="B500" s="2" t="s">
        <v>487</v>
      </c>
      <c r="C500" s="2" t="s">
        <v>119</v>
      </c>
      <c r="D500" s="2" t="s">
        <v>120</v>
      </c>
      <c r="E500" s="2" t="s">
        <v>177</v>
      </c>
      <c r="F500" s="2" t="s">
        <v>50</v>
      </c>
      <c r="G500" s="2" t="s">
        <v>35</v>
      </c>
      <c r="H500" s="3">
        <v>2781</v>
      </c>
      <c r="I500" s="4">
        <v>25</v>
      </c>
      <c r="J500" s="5">
        <v>5.15</v>
      </c>
      <c r="K500" s="4">
        <v>70</v>
      </c>
      <c r="L500" s="3">
        <f t="shared" si="21"/>
        <v>834.30000000000007</v>
      </c>
      <c r="M500" s="3">
        <f t="shared" si="22"/>
        <v>11.550990309973095</v>
      </c>
      <c r="N500" s="3">
        <v>45.7</v>
      </c>
      <c r="O500" s="5">
        <f t="shared" si="23"/>
        <v>25.275689956177448</v>
      </c>
      <c r="P500" s="2" t="s">
        <v>36</v>
      </c>
    </row>
    <row r="501" spans="1:16" x14ac:dyDescent="0.2">
      <c r="A501" s="2" t="s">
        <v>842</v>
      </c>
      <c r="B501" s="2" t="s">
        <v>823</v>
      </c>
      <c r="C501" s="2" t="s">
        <v>100</v>
      </c>
      <c r="D501" s="2" t="s">
        <v>32</v>
      </c>
      <c r="E501" s="2" t="s">
        <v>58</v>
      </c>
      <c r="F501" s="2" t="s">
        <v>34</v>
      </c>
      <c r="G501" s="2" t="s">
        <v>22</v>
      </c>
      <c r="H501" s="3">
        <v>5611</v>
      </c>
      <c r="I501" s="4">
        <v>20</v>
      </c>
      <c r="J501" s="5">
        <v>4.8499999999999996</v>
      </c>
      <c r="K501" s="4">
        <v>80</v>
      </c>
      <c r="L501" s="3">
        <f t="shared" si="21"/>
        <v>1122.1999999999998</v>
      </c>
      <c r="M501" s="3">
        <f t="shared" si="22"/>
        <v>29.253402512185193</v>
      </c>
      <c r="N501" s="3">
        <v>64.5</v>
      </c>
      <c r="O501" s="5">
        <f t="shared" si="23"/>
        <v>45.354112421992546</v>
      </c>
      <c r="P501" s="2" t="s">
        <v>36</v>
      </c>
    </row>
    <row r="502" spans="1:16" x14ac:dyDescent="0.2">
      <c r="A502" s="2" t="s">
        <v>843</v>
      </c>
      <c r="B502" s="2" t="s">
        <v>242</v>
      </c>
      <c r="C502" s="2" t="s">
        <v>84</v>
      </c>
      <c r="D502" s="2" t="s">
        <v>85</v>
      </c>
      <c r="E502" s="2" t="s">
        <v>107</v>
      </c>
      <c r="F502" s="2" t="s">
        <v>34</v>
      </c>
      <c r="G502" s="2" t="s">
        <v>98</v>
      </c>
      <c r="H502" s="3">
        <v>12978</v>
      </c>
      <c r="I502" s="4">
        <v>25</v>
      </c>
      <c r="J502" s="5">
        <v>5.13</v>
      </c>
      <c r="K502" s="4">
        <v>90</v>
      </c>
      <c r="L502" s="3">
        <f t="shared" si="21"/>
        <v>1297.7999999999997</v>
      </c>
      <c r="M502" s="3">
        <f t="shared" si="22"/>
        <v>69.168874226095326</v>
      </c>
      <c r="N502" s="3">
        <v>219.6</v>
      </c>
      <c r="O502" s="5">
        <f t="shared" si="23"/>
        <v>31.497665858877653</v>
      </c>
      <c r="P502" s="2" t="s">
        <v>36</v>
      </c>
    </row>
    <row r="503" spans="1:16" x14ac:dyDescent="0.2">
      <c r="A503" s="2" t="s">
        <v>844</v>
      </c>
      <c r="B503" s="2" t="s">
        <v>106</v>
      </c>
      <c r="C503" s="2" t="s">
        <v>84</v>
      </c>
      <c r="D503" s="2" t="s">
        <v>85</v>
      </c>
      <c r="E503" s="2" t="s">
        <v>20</v>
      </c>
      <c r="F503" s="2" t="s">
        <v>50</v>
      </c>
      <c r="G503" s="2" t="s">
        <v>22</v>
      </c>
      <c r="H503" s="3">
        <v>16472</v>
      </c>
      <c r="I503" s="4">
        <v>30</v>
      </c>
      <c r="J503" s="5">
        <v>4</v>
      </c>
      <c r="K503" s="4">
        <v>85</v>
      </c>
      <c r="L503" s="3">
        <f t="shared" si="21"/>
        <v>2470.8000000000002</v>
      </c>
      <c r="M503" s="3">
        <f t="shared" si="22"/>
        <v>66.843870348709913</v>
      </c>
      <c r="N503" s="3">
        <v>187</v>
      </c>
      <c r="O503" s="5">
        <f t="shared" si="23"/>
        <v>35.745385213213858</v>
      </c>
      <c r="P503" s="2" t="s">
        <v>36</v>
      </c>
    </row>
    <row r="504" spans="1:16" x14ac:dyDescent="0.2">
      <c r="A504" s="2" t="s">
        <v>845</v>
      </c>
      <c r="B504" s="2" t="s">
        <v>543</v>
      </c>
      <c r="C504" s="2" t="s">
        <v>153</v>
      </c>
      <c r="D504" s="2" t="s">
        <v>19</v>
      </c>
      <c r="E504" s="2" t="s">
        <v>97</v>
      </c>
      <c r="F504" s="2" t="s">
        <v>21</v>
      </c>
      <c r="G504" s="2" t="s">
        <v>22</v>
      </c>
      <c r="H504" s="3">
        <v>17795</v>
      </c>
      <c r="I504" s="4">
        <v>30</v>
      </c>
      <c r="J504" s="5">
        <v>4.0999999999999996</v>
      </c>
      <c r="K504" s="4">
        <v>70</v>
      </c>
      <c r="L504" s="3">
        <f t="shared" si="21"/>
        <v>5338.5000000000009</v>
      </c>
      <c r="M504" s="3">
        <f t="shared" si="22"/>
        <v>60.189605096381385</v>
      </c>
      <c r="N504" s="3">
        <v>233.5</v>
      </c>
      <c r="O504" s="5">
        <f t="shared" si="23"/>
        <v>25.77713280358946</v>
      </c>
      <c r="P504" s="2" t="s">
        <v>36</v>
      </c>
    </row>
    <row r="505" spans="1:16" x14ac:dyDescent="0.2">
      <c r="A505" s="2" t="s">
        <v>846</v>
      </c>
      <c r="B505" s="2" t="s">
        <v>847</v>
      </c>
      <c r="C505" s="2" t="s">
        <v>175</v>
      </c>
      <c r="D505" s="2" t="s">
        <v>176</v>
      </c>
      <c r="E505" s="2" t="s">
        <v>78</v>
      </c>
      <c r="F505" s="2" t="s">
        <v>34</v>
      </c>
      <c r="G505" s="2" t="s">
        <v>35</v>
      </c>
      <c r="H505" s="3">
        <v>7746</v>
      </c>
      <c r="I505" s="4">
        <v>20</v>
      </c>
      <c r="J505" s="5">
        <v>5.08</v>
      </c>
      <c r="K505" s="4">
        <v>80</v>
      </c>
      <c r="L505" s="3">
        <f t="shared" si="21"/>
        <v>1549.1999999999996</v>
      </c>
      <c r="M505" s="3">
        <f t="shared" si="22"/>
        <v>41.170492206243523</v>
      </c>
      <c r="N505" s="3">
        <v>106.2</v>
      </c>
      <c r="O505" s="5">
        <f t="shared" si="23"/>
        <v>38.766941813788627</v>
      </c>
      <c r="P505" s="2" t="s">
        <v>36</v>
      </c>
    </row>
    <row r="506" spans="1:16" x14ac:dyDescent="0.2">
      <c r="A506" s="2" t="s">
        <v>848</v>
      </c>
      <c r="B506" s="2" t="s">
        <v>375</v>
      </c>
      <c r="C506" s="2" t="s">
        <v>72</v>
      </c>
      <c r="D506" s="2" t="s">
        <v>73</v>
      </c>
      <c r="E506" s="2" t="s">
        <v>58</v>
      </c>
      <c r="F506" s="2" t="s">
        <v>34</v>
      </c>
      <c r="G506" s="2" t="s">
        <v>22</v>
      </c>
      <c r="H506" s="3">
        <v>14911</v>
      </c>
      <c r="I506" s="4">
        <v>25</v>
      </c>
      <c r="J506" s="5">
        <v>4.79</v>
      </c>
      <c r="K506" s="4">
        <v>75</v>
      </c>
      <c r="L506" s="3">
        <f t="shared" si="21"/>
        <v>3727.75</v>
      </c>
      <c r="M506" s="3">
        <f t="shared" si="22"/>
        <v>64.015209081848298</v>
      </c>
      <c r="N506" s="3">
        <v>233.5</v>
      </c>
      <c r="O506" s="5">
        <f t="shared" si="23"/>
        <v>27.41550710143396</v>
      </c>
      <c r="P506" s="2" t="s">
        <v>36</v>
      </c>
    </row>
    <row r="507" spans="1:16" x14ac:dyDescent="0.2">
      <c r="A507" s="2" t="s">
        <v>849</v>
      </c>
      <c r="B507" s="2" t="s">
        <v>124</v>
      </c>
      <c r="C507" s="2" t="s">
        <v>18</v>
      </c>
      <c r="D507" s="2" t="s">
        <v>19</v>
      </c>
      <c r="E507" s="2" t="s">
        <v>68</v>
      </c>
      <c r="F507" s="2" t="s">
        <v>59</v>
      </c>
      <c r="G507" s="2" t="s">
        <v>35</v>
      </c>
      <c r="H507" s="3">
        <v>17854</v>
      </c>
      <c r="I507" s="4">
        <v>25</v>
      </c>
      <c r="J507" s="5">
        <v>4.38</v>
      </c>
      <c r="K507" s="4">
        <v>90</v>
      </c>
      <c r="L507" s="3">
        <f t="shared" si="21"/>
        <v>1785.3999999999996</v>
      </c>
      <c r="M507" s="3">
        <f t="shared" si="22"/>
        <v>88.223561855873029</v>
      </c>
      <c r="N507" s="3">
        <v>210.9</v>
      </c>
      <c r="O507" s="5">
        <f t="shared" si="23"/>
        <v>41.831940187706508</v>
      </c>
      <c r="P507" s="2" t="s">
        <v>36</v>
      </c>
    </row>
    <row r="508" spans="1:16" x14ac:dyDescent="0.2">
      <c r="A508" s="2" t="s">
        <v>850</v>
      </c>
      <c r="B508" s="2" t="s">
        <v>358</v>
      </c>
      <c r="C508" s="2" t="s">
        <v>119</v>
      </c>
      <c r="D508" s="2" t="s">
        <v>120</v>
      </c>
      <c r="E508" s="2" t="s">
        <v>107</v>
      </c>
      <c r="F508" s="2" t="s">
        <v>21</v>
      </c>
      <c r="G508" s="2" t="s">
        <v>35</v>
      </c>
      <c r="H508" s="3">
        <v>3573</v>
      </c>
      <c r="I508" s="4">
        <v>30</v>
      </c>
      <c r="J508" s="5">
        <v>5.15</v>
      </c>
      <c r="K508" s="4">
        <v>80</v>
      </c>
      <c r="L508" s="3">
        <f t="shared" si="21"/>
        <v>714.5999999999998</v>
      </c>
      <c r="M508" s="3">
        <f t="shared" si="22"/>
        <v>15.607613638810461</v>
      </c>
      <c r="N508" s="3">
        <v>40</v>
      </c>
      <c r="O508" s="5">
        <f t="shared" si="23"/>
        <v>39.01903409702615</v>
      </c>
      <c r="P508" s="2" t="s">
        <v>36</v>
      </c>
    </row>
    <row r="509" spans="1:16" x14ac:dyDescent="0.2">
      <c r="A509" s="2" t="s">
        <v>851</v>
      </c>
      <c r="B509" s="2" t="s">
        <v>594</v>
      </c>
      <c r="C509" s="2" t="s">
        <v>84</v>
      </c>
      <c r="D509" s="2" t="s">
        <v>85</v>
      </c>
      <c r="E509" s="2" t="s">
        <v>74</v>
      </c>
      <c r="F509" s="2" t="s">
        <v>50</v>
      </c>
      <c r="G509" s="2" t="s">
        <v>35</v>
      </c>
      <c r="H509" s="3">
        <v>9488</v>
      </c>
      <c r="I509" s="4">
        <v>20</v>
      </c>
      <c r="J509" s="5">
        <v>4.1399999999999997</v>
      </c>
      <c r="K509" s="4">
        <v>70</v>
      </c>
      <c r="L509" s="3">
        <f t="shared" si="21"/>
        <v>2846.4000000000005</v>
      </c>
      <c r="M509" s="3">
        <f t="shared" si="22"/>
        <v>40.738429340165361</v>
      </c>
      <c r="N509" s="3">
        <v>129.1</v>
      </c>
      <c r="O509" s="5">
        <f t="shared" si="23"/>
        <v>31.555715987734594</v>
      </c>
      <c r="P509" s="2" t="s">
        <v>23</v>
      </c>
    </row>
    <row r="510" spans="1:16" x14ac:dyDescent="0.2">
      <c r="A510" s="2" t="s">
        <v>852</v>
      </c>
      <c r="B510" s="2" t="s">
        <v>853</v>
      </c>
      <c r="C510" s="2" t="s">
        <v>131</v>
      </c>
      <c r="D510" s="2" t="s">
        <v>27</v>
      </c>
      <c r="E510" s="2" t="s">
        <v>78</v>
      </c>
      <c r="F510" s="2" t="s">
        <v>50</v>
      </c>
      <c r="G510" s="2" t="s">
        <v>22</v>
      </c>
      <c r="H510" s="3">
        <v>11068</v>
      </c>
      <c r="I510" s="4">
        <v>30</v>
      </c>
      <c r="J510" s="5">
        <v>4.93</v>
      </c>
      <c r="K510" s="4">
        <v>90</v>
      </c>
      <c r="L510" s="3">
        <f t="shared" si="21"/>
        <v>1106.7999999999997</v>
      </c>
      <c r="M510" s="3">
        <f t="shared" si="22"/>
        <v>53.048538257318761</v>
      </c>
      <c r="N510" s="3">
        <v>144.1</v>
      </c>
      <c r="O510" s="5">
        <f t="shared" si="23"/>
        <v>36.813697610908228</v>
      </c>
      <c r="P510" s="2" t="s">
        <v>36</v>
      </c>
    </row>
    <row r="511" spans="1:16" x14ac:dyDescent="0.2">
      <c r="A511" s="2" t="s">
        <v>854</v>
      </c>
      <c r="B511" s="2" t="s">
        <v>286</v>
      </c>
      <c r="C511" s="2" t="s">
        <v>131</v>
      </c>
      <c r="D511" s="2" t="s">
        <v>27</v>
      </c>
      <c r="E511" s="2" t="s">
        <v>97</v>
      </c>
      <c r="F511" s="2" t="s">
        <v>34</v>
      </c>
      <c r="G511" s="2" t="s">
        <v>98</v>
      </c>
      <c r="H511" s="3">
        <v>8276</v>
      </c>
      <c r="I511" s="4">
        <v>30</v>
      </c>
      <c r="J511" s="5">
        <v>5.4</v>
      </c>
      <c r="K511" s="4">
        <v>85</v>
      </c>
      <c r="L511" s="3">
        <f t="shared" si="21"/>
        <v>1241.4000000000001</v>
      </c>
      <c r="M511" s="3">
        <f t="shared" si="22"/>
        <v>39.501445084859895</v>
      </c>
      <c r="N511" s="3">
        <v>94.9</v>
      </c>
      <c r="O511" s="5">
        <f t="shared" si="23"/>
        <v>41.624283545690091</v>
      </c>
      <c r="P511" s="2" t="s">
        <v>36</v>
      </c>
    </row>
    <row r="512" spans="1:16" x14ac:dyDescent="0.2">
      <c r="A512" s="2" t="s">
        <v>855</v>
      </c>
      <c r="B512" s="2" t="s">
        <v>52</v>
      </c>
      <c r="C512" s="2" t="s">
        <v>84</v>
      </c>
      <c r="D512" s="2" t="s">
        <v>85</v>
      </c>
      <c r="E512" s="2" t="s">
        <v>64</v>
      </c>
      <c r="F512" s="2" t="s">
        <v>28</v>
      </c>
      <c r="G512" s="2" t="s">
        <v>35</v>
      </c>
      <c r="H512" s="3">
        <v>11036</v>
      </c>
      <c r="I512" s="4">
        <v>20</v>
      </c>
      <c r="J512" s="5">
        <v>4.8099999999999996</v>
      </c>
      <c r="K512" s="4">
        <v>80</v>
      </c>
      <c r="L512" s="3">
        <f t="shared" si="21"/>
        <v>2207.1999999999994</v>
      </c>
      <c r="M512" s="3">
        <f t="shared" si="22"/>
        <v>57.343496993312861</v>
      </c>
      <c r="N512" s="3">
        <v>165.6</v>
      </c>
      <c r="O512" s="5">
        <f t="shared" si="23"/>
        <v>34.627715575672021</v>
      </c>
      <c r="P512" s="2" t="s">
        <v>69</v>
      </c>
    </row>
    <row r="513" spans="1:16" x14ac:dyDescent="0.2">
      <c r="A513" s="2" t="s">
        <v>856</v>
      </c>
      <c r="B513" s="2" t="s">
        <v>857</v>
      </c>
      <c r="C513" s="2" t="s">
        <v>119</v>
      </c>
      <c r="D513" s="2" t="s">
        <v>120</v>
      </c>
      <c r="E513" s="2" t="s">
        <v>114</v>
      </c>
      <c r="F513" s="2" t="s">
        <v>59</v>
      </c>
      <c r="G513" s="2" t="s">
        <v>35</v>
      </c>
      <c r="H513" s="3">
        <v>6993</v>
      </c>
      <c r="I513" s="4">
        <v>20</v>
      </c>
      <c r="J513" s="5">
        <v>3.99</v>
      </c>
      <c r="K513" s="4">
        <v>90</v>
      </c>
      <c r="L513" s="3">
        <f t="shared" si="21"/>
        <v>699.29999999999984</v>
      </c>
      <c r="M513" s="3">
        <f t="shared" si="22"/>
        <v>38.10542863491753</v>
      </c>
      <c r="N513" s="3">
        <v>109.3</v>
      </c>
      <c r="O513" s="5">
        <f t="shared" si="23"/>
        <v>34.863155201205423</v>
      </c>
      <c r="P513" s="2" t="s">
        <v>36</v>
      </c>
    </row>
    <row r="514" spans="1:16" x14ac:dyDescent="0.2">
      <c r="A514" s="2" t="s">
        <v>858</v>
      </c>
      <c r="B514" s="2" t="s">
        <v>403</v>
      </c>
      <c r="C514" s="2" t="s">
        <v>146</v>
      </c>
      <c r="D514" s="2" t="s">
        <v>19</v>
      </c>
      <c r="E514" s="2" t="s">
        <v>114</v>
      </c>
      <c r="F514" s="2" t="s">
        <v>59</v>
      </c>
      <c r="G514" s="2" t="s">
        <v>35</v>
      </c>
      <c r="H514" s="3">
        <v>7227</v>
      </c>
      <c r="I514" s="4">
        <v>15</v>
      </c>
      <c r="J514" s="5">
        <v>4.83</v>
      </c>
      <c r="K514" s="4">
        <v>90</v>
      </c>
      <c r="L514" s="3">
        <f t="shared" ref="L514:L577" si="24">H514*(1-K514/100)</f>
        <v>722.69999999999982</v>
      </c>
      <c r="M514" s="3">
        <f t="shared" ref="M514:M577" si="25">PMT(J514/100/12, I514*12, -(H514*K514/100))</f>
        <v>50.8614344690697</v>
      </c>
      <c r="N514" s="3">
        <v>104.4</v>
      </c>
      <c r="O514" s="5">
        <f t="shared" ref="O514:O577" si="26">IFERROR(M514/N514*100,0)</f>
        <v>48.717849108304307</v>
      </c>
      <c r="P514" s="2" t="s">
        <v>36</v>
      </c>
    </row>
    <row r="515" spans="1:16" x14ac:dyDescent="0.2">
      <c r="A515" s="2" t="s">
        <v>859</v>
      </c>
      <c r="B515" s="2" t="s">
        <v>714</v>
      </c>
      <c r="C515" s="2" t="s">
        <v>146</v>
      </c>
      <c r="D515" s="2" t="s">
        <v>19</v>
      </c>
      <c r="E515" s="2" t="s">
        <v>41</v>
      </c>
      <c r="F515" s="2" t="s">
        <v>59</v>
      </c>
      <c r="G515" s="2" t="s">
        <v>35</v>
      </c>
      <c r="H515" s="3">
        <v>5329</v>
      </c>
      <c r="I515" s="4">
        <v>30</v>
      </c>
      <c r="J515" s="5">
        <v>4.4400000000000004</v>
      </c>
      <c r="K515" s="4">
        <v>90</v>
      </c>
      <c r="L515" s="3">
        <f t="shared" si="24"/>
        <v>532.89999999999986</v>
      </c>
      <c r="M515" s="3">
        <f t="shared" si="25"/>
        <v>24.130449753826241</v>
      </c>
      <c r="N515" s="3">
        <v>80.099999999999994</v>
      </c>
      <c r="O515" s="5">
        <f t="shared" si="26"/>
        <v>30.125405435488446</v>
      </c>
      <c r="P515" s="2" t="s">
        <v>69</v>
      </c>
    </row>
    <row r="516" spans="1:16" x14ac:dyDescent="0.2">
      <c r="A516" s="2" t="s">
        <v>860</v>
      </c>
      <c r="B516" s="2" t="s">
        <v>312</v>
      </c>
      <c r="C516" s="2" t="s">
        <v>26</v>
      </c>
      <c r="D516" s="2" t="s">
        <v>27</v>
      </c>
      <c r="E516" s="2" t="s">
        <v>68</v>
      </c>
      <c r="F516" s="2" t="s">
        <v>28</v>
      </c>
      <c r="G516" s="2" t="s">
        <v>22</v>
      </c>
      <c r="H516" s="3">
        <v>4381</v>
      </c>
      <c r="I516" s="4">
        <v>20</v>
      </c>
      <c r="J516" s="5">
        <v>4.12</v>
      </c>
      <c r="K516" s="4">
        <v>80</v>
      </c>
      <c r="L516" s="3">
        <f t="shared" si="24"/>
        <v>876.19999999999982</v>
      </c>
      <c r="M516" s="3">
        <f t="shared" si="25"/>
        <v>21.460667248502105</v>
      </c>
      <c r="N516" s="3">
        <v>46.8</v>
      </c>
      <c r="O516" s="5">
        <f t="shared" si="26"/>
        <v>45.856126599363471</v>
      </c>
      <c r="P516" s="2" t="s">
        <v>36</v>
      </c>
    </row>
    <row r="517" spans="1:16" x14ac:dyDescent="0.2">
      <c r="A517" s="2" t="s">
        <v>861</v>
      </c>
      <c r="B517" s="2" t="s">
        <v>470</v>
      </c>
      <c r="C517" s="2" t="s">
        <v>62</v>
      </c>
      <c r="D517" s="2" t="s">
        <v>63</v>
      </c>
      <c r="E517" s="2" t="s">
        <v>107</v>
      </c>
      <c r="F517" s="2" t="s">
        <v>59</v>
      </c>
      <c r="G517" s="2" t="s">
        <v>44</v>
      </c>
      <c r="H517" s="3">
        <v>15418</v>
      </c>
      <c r="I517" s="4">
        <v>25</v>
      </c>
      <c r="J517" s="5">
        <v>5.73</v>
      </c>
      <c r="K517" s="4">
        <v>85</v>
      </c>
      <c r="L517" s="3">
        <f t="shared" si="24"/>
        <v>2312.7000000000003</v>
      </c>
      <c r="M517" s="3">
        <f t="shared" si="25"/>
        <v>82.287964921989328</v>
      </c>
      <c r="N517" s="3">
        <v>198.8</v>
      </c>
      <c r="O517" s="5">
        <f t="shared" si="26"/>
        <v>41.392336479873904</v>
      </c>
      <c r="P517" s="2" t="s">
        <v>69</v>
      </c>
    </row>
    <row r="518" spans="1:16" x14ac:dyDescent="0.2">
      <c r="A518" s="2" t="s">
        <v>862</v>
      </c>
      <c r="B518" s="2" t="s">
        <v>355</v>
      </c>
      <c r="C518" s="2" t="s">
        <v>67</v>
      </c>
      <c r="D518" s="2" t="s">
        <v>67</v>
      </c>
      <c r="E518" s="2" t="s">
        <v>114</v>
      </c>
      <c r="F518" s="2" t="s">
        <v>59</v>
      </c>
      <c r="G518" s="2" t="s">
        <v>22</v>
      </c>
      <c r="H518" s="3">
        <v>17796</v>
      </c>
      <c r="I518" s="4">
        <v>20</v>
      </c>
      <c r="J518" s="5">
        <v>4.25</v>
      </c>
      <c r="K518" s="4">
        <v>80</v>
      </c>
      <c r="L518" s="3">
        <f t="shared" si="24"/>
        <v>3559.1999999999994</v>
      </c>
      <c r="M518" s="3">
        <f t="shared" si="25"/>
        <v>88.159172907451989</v>
      </c>
      <c r="N518" s="3">
        <v>246.1</v>
      </c>
      <c r="O518" s="5">
        <f t="shared" si="26"/>
        <v>35.822500165563589</v>
      </c>
      <c r="P518" s="2" t="s">
        <v>23</v>
      </c>
    </row>
    <row r="519" spans="1:16" x14ac:dyDescent="0.2">
      <c r="A519" s="2" t="s">
        <v>863</v>
      </c>
      <c r="B519" s="2" t="s">
        <v>55</v>
      </c>
      <c r="C519" s="2" t="s">
        <v>32</v>
      </c>
      <c r="D519" s="2" t="s">
        <v>32</v>
      </c>
      <c r="E519" s="2" t="s">
        <v>58</v>
      </c>
      <c r="F519" s="2" t="s">
        <v>50</v>
      </c>
      <c r="G519" s="2" t="s">
        <v>22</v>
      </c>
      <c r="H519" s="3">
        <v>6962</v>
      </c>
      <c r="I519" s="4">
        <v>30</v>
      </c>
      <c r="J519" s="5">
        <v>4.68</v>
      </c>
      <c r="K519" s="4">
        <v>75</v>
      </c>
      <c r="L519" s="3">
        <f t="shared" si="24"/>
        <v>1740.5</v>
      </c>
      <c r="M519" s="3">
        <f t="shared" si="25"/>
        <v>27.017940786395698</v>
      </c>
      <c r="N519" s="3">
        <v>82.1</v>
      </c>
      <c r="O519" s="5">
        <f t="shared" si="26"/>
        <v>32.908575866499021</v>
      </c>
      <c r="P519" s="2" t="s">
        <v>36</v>
      </c>
    </row>
    <row r="520" spans="1:16" x14ac:dyDescent="0.2">
      <c r="A520" s="2" t="s">
        <v>864</v>
      </c>
      <c r="B520" s="2" t="s">
        <v>212</v>
      </c>
      <c r="C520" s="2" t="s">
        <v>142</v>
      </c>
      <c r="D520" s="2" t="s">
        <v>143</v>
      </c>
      <c r="E520" s="2" t="s">
        <v>107</v>
      </c>
      <c r="F520" s="2" t="s">
        <v>34</v>
      </c>
      <c r="G520" s="2" t="s">
        <v>22</v>
      </c>
      <c r="H520" s="3">
        <v>12399</v>
      </c>
      <c r="I520" s="4">
        <v>20</v>
      </c>
      <c r="J520" s="5">
        <v>4.24</v>
      </c>
      <c r="K520" s="4">
        <v>90</v>
      </c>
      <c r="L520" s="3">
        <f t="shared" si="24"/>
        <v>1239.8999999999996</v>
      </c>
      <c r="M520" s="3">
        <f t="shared" si="25"/>
        <v>69.041486456837163</v>
      </c>
      <c r="N520" s="3">
        <v>195.9</v>
      </c>
      <c r="O520" s="5">
        <f t="shared" si="26"/>
        <v>35.243229431769862</v>
      </c>
      <c r="P520" s="2" t="s">
        <v>36</v>
      </c>
    </row>
    <row r="521" spans="1:16" x14ac:dyDescent="0.2">
      <c r="A521" s="2" t="s">
        <v>865</v>
      </c>
      <c r="B521" s="2" t="s">
        <v>160</v>
      </c>
      <c r="C521" s="2" t="s">
        <v>62</v>
      </c>
      <c r="D521" s="2" t="s">
        <v>63</v>
      </c>
      <c r="E521" s="2" t="s">
        <v>78</v>
      </c>
      <c r="F521" s="2" t="s">
        <v>50</v>
      </c>
      <c r="G521" s="2" t="s">
        <v>44</v>
      </c>
      <c r="H521" s="3">
        <v>14738</v>
      </c>
      <c r="I521" s="4">
        <v>25</v>
      </c>
      <c r="J521" s="5">
        <v>4.6900000000000004</v>
      </c>
      <c r="K521" s="4">
        <v>75</v>
      </c>
      <c r="L521" s="3">
        <f t="shared" si="24"/>
        <v>3684.5</v>
      </c>
      <c r="M521" s="3">
        <f t="shared" si="25"/>
        <v>62.637062832076118</v>
      </c>
      <c r="N521" s="3">
        <v>170.8</v>
      </c>
      <c r="O521" s="5">
        <f t="shared" si="26"/>
        <v>36.672753414564468</v>
      </c>
      <c r="P521" s="2" t="s">
        <v>69</v>
      </c>
    </row>
    <row r="522" spans="1:16" x14ac:dyDescent="0.2">
      <c r="A522" s="2" t="s">
        <v>866</v>
      </c>
      <c r="B522" s="2" t="s">
        <v>867</v>
      </c>
      <c r="C522" s="2" t="s">
        <v>47</v>
      </c>
      <c r="D522" s="2" t="s">
        <v>48</v>
      </c>
      <c r="E522" s="2" t="s">
        <v>177</v>
      </c>
      <c r="F522" s="2" t="s">
        <v>28</v>
      </c>
      <c r="G522" s="2" t="s">
        <v>44</v>
      </c>
      <c r="H522" s="3">
        <v>2101</v>
      </c>
      <c r="I522" s="4">
        <v>25</v>
      </c>
      <c r="J522" s="5">
        <v>4.8</v>
      </c>
      <c r="K522" s="4">
        <v>90</v>
      </c>
      <c r="L522" s="3">
        <f t="shared" si="24"/>
        <v>210.09999999999997</v>
      </c>
      <c r="M522" s="3">
        <f t="shared" si="25"/>
        <v>10.834799555722189</v>
      </c>
      <c r="N522" s="3">
        <v>24.3</v>
      </c>
      <c r="O522" s="5">
        <f t="shared" si="26"/>
        <v>44.587652492683901</v>
      </c>
      <c r="P522" s="2" t="s">
        <v>29</v>
      </c>
    </row>
    <row r="523" spans="1:16" x14ac:dyDescent="0.2">
      <c r="A523" s="2" t="s">
        <v>868</v>
      </c>
      <c r="B523" s="2" t="s">
        <v>511</v>
      </c>
      <c r="C523" s="2" t="s">
        <v>77</v>
      </c>
      <c r="D523" s="2" t="s">
        <v>19</v>
      </c>
      <c r="E523" s="2" t="s">
        <v>58</v>
      </c>
      <c r="F523" s="2" t="s">
        <v>21</v>
      </c>
      <c r="G523" s="2" t="s">
        <v>44</v>
      </c>
      <c r="H523" s="3">
        <v>11996</v>
      </c>
      <c r="I523" s="4">
        <v>30</v>
      </c>
      <c r="J523" s="5">
        <v>4</v>
      </c>
      <c r="K523" s="4">
        <v>75</v>
      </c>
      <c r="L523" s="3">
        <f t="shared" si="24"/>
        <v>2999</v>
      </c>
      <c r="M523" s="3">
        <f t="shared" si="25"/>
        <v>42.953054133027386</v>
      </c>
      <c r="N523" s="3">
        <v>167.6</v>
      </c>
      <c r="O523" s="5">
        <f t="shared" si="26"/>
        <v>25.628313921854051</v>
      </c>
      <c r="P523" s="2" t="s">
        <v>36</v>
      </c>
    </row>
    <row r="524" spans="1:16" x14ac:dyDescent="0.2">
      <c r="A524" s="2" t="s">
        <v>869</v>
      </c>
      <c r="B524" s="2" t="s">
        <v>122</v>
      </c>
      <c r="C524" s="2" t="s">
        <v>91</v>
      </c>
      <c r="D524" s="2" t="s">
        <v>92</v>
      </c>
      <c r="E524" s="2" t="s">
        <v>156</v>
      </c>
      <c r="F524" s="2" t="s">
        <v>34</v>
      </c>
      <c r="G524" s="2" t="s">
        <v>22</v>
      </c>
      <c r="H524" s="3">
        <v>17163</v>
      </c>
      <c r="I524" s="4">
        <v>30</v>
      </c>
      <c r="J524" s="5">
        <v>5.44</v>
      </c>
      <c r="K524" s="4">
        <v>85</v>
      </c>
      <c r="L524" s="3">
        <f t="shared" si="24"/>
        <v>2574.4500000000003</v>
      </c>
      <c r="M524" s="3">
        <f t="shared" si="25"/>
        <v>82.283834164579005</v>
      </c>
      <c r="N524" s="3">
        <v>227.7</v>
      </c>
      <c r="O524" s="5">
        <f t="shared" si="26"/>
        <v>36.136949567228378</v>
      </c>
      <c r="P524" s="2" t="s">
        <v>29</v>
      </c>
    </row>
    <row r="525" spans="1:16" x14ac:dyDescent="0.2">
      <c r="A525" s="2" t="s">
        <v>870</v>
      </c>
      <c r="B525" s="2" t="s">
        <v>382</v>
      </c>
      <c r="C525" s="2" t="s">
        <v>146</v>
      </c>
      <c r="D525" s="2" t="s">
        <v>19</v>
      </c>
      <c r="E525" s="2" t="s">
        <v>156</v>
      </c>
      <c r="F525" s="2" t="s">
        <v>34</v>
      </c>
      <c r="G525" s="2" t="s">
        <v>35</v>
      </c>
      <c r="H525" s="3">
        <v>14302</v>
      </c>
      <c r="I525" s="4">
        <v>25</v>
      </c>
      <c r="J525" s="5">
        <v>3.93</v>
      </c>
      <c r="K525" s="4">
        <v>90</v>
      </c>
      <c r="L525" s="3">
        <f t="shared" si="24"/>
        <v>1430.1999999999996</v>
      </c>
      <c r="M525" s="3">
        <f t="shared" si="25"/>
        <v>67.445585227392584</v>
      </c>
      <c r="N525" s="3">
        <v>188</v>
      </c>
      <c r="O525" s="5">
        <f t="shared" si="26"/>
        <v>35.87531129116627</v>
      </c>
      <c r="P525" s="2" t="s">
        <v>36</v>
      </c>
    </row>
    <row r="526" spans="1:16" x14ac:dyDescent="0.2">
      <c r="A526" s="2" t="s">
        <v>871</v>
      </c>
      <c r="B526" s="2" t="s">
        <v>228</v>
      </c>
      <c r="C526" s="2" t="s">
        <v>67</v>
      </c>
      <c r="D526" s="2" t="s">
        <v>67</v>
      </c>
      <c r="E526" s="2" t="s">
        <v>68</v>
      </c>
      <c r="F526" s="2" t="s">
        <v>21</v>
      </c>
      <c r="G526" s="2" t="s">
        <v>35</v>
      </c>
      <c r="H526" s="3">
        <v>6522</v>
      </c>
      <c r="I526" s="4">
        <v>20</v>
      </c>
      <c r="J526" s="5">
        <v>4.3099999999999996</v>
      </c>
      <c r="K526" s="4">
        <v>90</v>
      </c>
      <c r="L526" s="3">
        <f t="shared" si="24"/>
        <v>652.19999999999982</v>
      </c>
      <c r="M526" s="3">
        <f t="shared" si="25"/>
        <v>36.535950101129593</v>
      </c>
      <c r="N526" s="3">
        <v>95.7</v>
      </c>
      <c r="O526" s="5">
        <f t="shared" si="26"/>
        <v>38.177586312570106</v>
      </c>
      <c r="P526" s="2" t="s">
        <v>69</v>
      </c>
    </row>
    <row r="527" spans="1:16" x14ac:dyDescent="0.2">
      <c r="A527" s="2" t="s">
        <v>872</v>
      </c>
      <c r="B527" s="2" t="s">
        <v>423</v>
      </c>
      <c r="C527" s="2" t="s">
        <v>119</v>
      </c>
      <c r="D527" s="2" t="s">
        <v>120</v>
      </c>
      <c r="E527" s="2" t="s">
        <v>68</v>
      </c>
      <c r="F527" s="2" t="s">
        <v>50</v>
      </c>
      <c r="G527" s="2" t="s">
        <v>22</v>
      </c>
      <c r="H527" s="3">
        <v>7049</v>
      </c>
      <c r="I527" s="4">
        <v>15</v>
      </c>
      <c r="J527" s="5">
        <v>5.03</v>
      </c>
      <c r="K527" s="4">
        <v>80</v>
      </c>
      <c r="L527" s="3">
        <f t="shared" si="24"/>
        <v>1409.7999999999997</v>
      </c>
      <c r="M527" s="3">
        <f t="shared" si="25"/>
        <v>44.682611161362907</v>
      </c>
      <c r="N527" s="3">
        <v>100.9</v>
      </c>
      <c r="O527" s="5">
        <f t="shared" si="26"/>
        <v>44.284054669338857</v>
      </c>
      <c r="P527" s="2" t="s">
        <v>36</v>
      </c>
    </row>
    <row r="528" spans="1:16" x14ac:dyDescent="0.2">
      <c r="A528" s="2" t="s">
        <v>873</v>
      </c>
      <c r="B528" s="2" t="s">
        <v>775</v>
      </c>
      <c r="C528" s="2" t="s">
        <v>77</v>
      </c>
      <c r="D528" s="2" t="s">
        <v>19</v>
      </c>
      <c r="E528" s="2" t="s">
        <v>81</v>
      </c>
      <c r="F528" s="2" t="s">
        <v>34</v>
      </c>
      <c r="G528" s="2" t="s">
        <v>98</v>
      </c>
      <c r="H528" s="3">
        <v>13112</v>
      </c>
      <c r="I528" s="4">
        <v>25</v>
      </c>
      <c r="J528" s="5">
        <v>4.1500000000000004</v>
      </c>
      <c r="K528" s="4">
        <v>80</v>
      </c>
      <c r="L528" s="3">
        <f t="shared" si="24"/>
        <v>2622.3999999999996</v>
      </c>
      <c r="M528" s="3">
        <f t="shared" si="25"/>
        <v>56.240439365355869</v>
      </c>
      <c r="N528" s="3">
        <v>208.4</v>
      </c>
      <c r="O528" s="5">
        <f t="shared" si="26"/>
        <v>26.98677512733007</v>
      </c>
      <c r="P528" s="2" t="s">
        <v>36</v>
      </c>
    </row>
    <row r="529" spans="1:16" x14ac:dyDescent="0.2">
      <c r="A529" s="2" t="s">
        <v>874</v>
      </c>
      <c r="B529" s="2" t="s">
        <v>377</v>
      </c>
      <c r="C529" s="2" t="s">
        <v>53</v>
      </c>
      <c r="D529" s="2" t="s">
        <v>19</v>
      </c>
      <c r="E529" s="2" t="s">
        <v>114</v>
      </c>
      <c r="F529" s="2" t="s">
        <v>50</v>
      </c>
      <c r="G529" s="2" t="s">
        <v>22</v>
      </c>
      <c r="H529" s="3">
        <v>17586</v>
      </c>
      <c r="I529" s="4">
        <v>20</v>
      </c>
      <c r="J529" s="5">
        <v>5.41</v>
      </c>
      <c r="K529" s="4">
        <v>80</v>
      </c>
      <c r="L529" s="3">
        <f t="shared" si="24"/>
        <v>3517.1999999999994</v>
      </c>
      <c r="M529" s="3">
        <f t="shared" si="25"/>
        <v>96.063744045337657</v>
      </c>
      <c r="N529" s="3">
        <v>238</v>
      </c>
      <c r="O529" s="5">
        <f t="shared" si="26"/>
        <v>40.36291766610826</v>
      </c>
      <c r="P529" s="2" t="s">
        <v>29</v>
      </c>
    </row>
    <row r="530" spans="1:16" x14ac:dyDescent="0.2">
      <c r="A530" s="2" t="s">
        <v>875</v>
      </c>
      <c r="B530" s="2" t="s">
        <v>626</v>
      </c>
      <c r="C530" s="2" t="s">
        <v>142</v>
      </c>
      <c r="D530" s="2" t="s">
        <v>143</v>
      </c>
      <c r="E530" s="2" t="s">
        <v>74</v>
      </c>
      <c r="F530" s="2" t="s">
        <v>34</v>
      </c>
      <c r="G530" s="2" t="s">
        <v>44</v>
      </c>
      <c r="H530" s="3">
        <v>15233</v>
      </c>
      <c r="I530" s="4">
        <v>30</v>
      </c>
      <c r="J530" s="5">
        <v>4.34</v>
      </c>
      <c r="K530" s="4">
        <v>85</v>
      </c>
      <c r="L530" s="3">
        <f t="shared" si="24"/>
        <v>2284.9500000000003</v>
      </c>
      <c r="M530" s="3">
        <f t="shared" si="25"/>
        <v>64.380685258834177</v>
      </c>
      <c r="N530" s="3">
        <v>185.5</v>
      </c>
      <c r="O530" s="5">
        <f t="shared" si="26"/>
        <v>34.706568872686887</v>
      </c>
      <c r="P530" s="2" t="s">
        <v>36</v>
      </c>
    </row>
    <row r="531" spans="1:16" x14ac:dyDescent="0.2">
      <c r="A531" s="2" t="s">
        <v>876</v>
      </c>
      <c r="B531" s="2" t="s">
        <v>334</v>
      </c>
      <c r="C531" s="2" t="s">
        <v>53</v>
      </c>
      <c r="D531" s="2" t="s">
        <v>19</v>
      </c>
      <c r="E531" s="2" t="s">
        <v>58</v>
      </c>
      <c r="F531" s="2" t="s">
        <v>59</v>
      </c>
      <c r="G531" s="2" t="s">
        <v>35</v>
      </c>
      <c r="H531" s="3">
        <v>15720</v>
      </c>
      <c r="I531" s="4">
        <v>15</v>
      </c>
      <c r="J531" s="5">
        <v>4.08</v>
      </c>
      <c r="K531" s="4">
        <v>90</v>
      </c>
      <c r="L531" s="3">
        <f t="shared" si="24"/>
        <v>1571.9999999999995</v>
      </c>
      <c r="M531" s="3">
        <f t="shared" si="25"/>
        <v>105.21914419796072</v>
      </c>
      <c r="N531" s="3">
        <v>170.1</v>
      </c>
      <c r="O531" s="5">
        <f t="shared" si="26"/>
        <v>61.857227629606534</v>
      </c>
      <c r="P531" s="2" t="s">
        <v>36</v>
      </c>
    </row>
    <row r="532" spans="1:16" x14ac:dyDescent="0.2">
      <c r="A532" s="2" t="s">
        <v>877</v>
      </c>
      <c r="B532" s="2" t="s">
        <v>534</v>
      </c>
      <c r="C532" s="2" t="s">
        <v>18</v>
      </c>
      <c r="D532" s="2" t="s">
        <v>19</v>
      </c>
      <c r="E532" s="2" t="s">
        <v>97</v>
      </c>
      <c r="F532" s="2" t="s">
        <v>59</v>
      </c>
      <c r="G532" s="2" t="s">
        <v>22</v>
      </c>
      <c r="H532" s="3">
        <v>9612</v>
      </c>
      <c r="I532" s="4">
        <v>20</v>
      </c>
      <c r="J532" s="5">
        <v>4.1399999999999997</v>
      </c>
      <c r="K532" s="4">
        <v>90</v>
      </c>
      <c r="L532" s="3">
        <f t="shared" si="24"/>
        <v>961.19999999999982</v>
      </c>
      <c r="M532" s="3">
        <f t="shared" si="25"/>
        <v>53.06251573956613</v>
      </c>
      <c r="N532" s="3">
        <v>141.9</v>
      </c>
      <c r="O532" s="5">
        <f t="shared" si="26"/>
        <v>37.394302846769648</v>
      </c>
      <c r="P532" s="2" t="s">
        <v>29</v>
      </c>
    </row>
    <row r="533" spans="1:16" x14ac:dyDescent="0.2">
      <c r="A533" s="2" t="s">
        <v>878</v>
      </c>
      <c r="B533" s="2" t="s">
        <v>292</v>
      </c>
      <c r="C533" s="2" t="s">
        <v>77</v>
      </c>
      <c r="D533" s="2" t="s">
        <v>19</v>
      </c>
      <c r="E533" s="2" t="s">
        <v>68</v>
      </c>
      <c r="F533" s="2" t="s">
        <v>34</v>
      </c>
      <c r="G533" s="2" t="s">
        <v>22</v>
      </c>
      <c r="H533" s="3">
        <v>11866</v>
      </c>
      <c r="I533" s="4">
        <v>30</v>
      </c>
      <c r="J533" s="5">
        <v>4.0999999999999996</v>
      </c>
      <c r="K533" s="4">
        <v>80</v>
      </c>
      <c r="L533" s="3">
        <f t="shared" si="24"/>
        <v>2373.1999999999994</v>
      </c>
      <c r="M533" s="3">
        <f t="shared" si="25"/>
        <v>45.869054972016954</v>
      </c>
      <c r="N533" s="3">
        <v>136.69999999999999</v>
      </c>
      <c r="O533" s="5">
        <f t="shared" si="26"/>
        <v>33.5545391163255</v>
      </c>
      <c r="P533" s="2" t="s">
        <v>69</v>
      </c>
    </row>
    <row r="534" spans="1:16" x14ac:dyDescent="0.2">
      <c r="A534" s="2" t="s">
        <v>879</v>
      </c>
      <c r="B534" s="2" t="s">
        <v>880</v>
      </c>
      <c r="C534" s="2" t="s">
        <v>18</v>
      </c>
      <c r="D534" s="2" t="s">
        <v>19</v>
      </c>
      <c r="E534" s="2" t="s">
        <v>49</v>
      </c>
      <c r="F534" s="2" t="s">
        <v>21</v>
      </c>
      <c r="G534" s="2" t="s">
        <v>22</v>
      </c>
      <c r="H534" s="3">
        <v>12321</v>
      </c>
      <c r="I534" s="4">
        <v>20</v>
      </c>
      <c r="J534" s="5">
        <v>4.2699999999999996</v>
      </c>
      <c r="K534" s="4">
        <v>80</v>
      </c>
      <c r="L534" s="3">
        <f t="shared" si="24"/>
        <v>2464.1999999999994</v>
      </c>
      <c r="M534" s="3">
        <f t="shared" si="25"/>
        <v>61.141904269120573</v>
      </c>
      <c r="N534" s="3">
        <v>194.2</v>
      </c>
      <c r="O534" s="5">
        <f t="shared" si="26"/>
        <v>31.483987780185675</v>
      </c>
      <c r="P534" s="2" t="s">
        <v>36</v>
      </c>
    </row>
    <row r="535" spans="1:16" x14ac:dyDescent="0.2">
      <c r="A535" s="2" t="s">
        <v>881</v>
      </c>
      <c r="B535" s="2" t="s">
        <v>264</v>
      </c>
      <c r="C535" s="2" t="s">
        <v>56</v>
      </c>
      <c r="D535" s="2" t="s">
        <v>57</v>
      </c>
      <c r="E535" s="2" t="s">
        <v>20</v>
      </c>
      <c r="F535" s="2" t="s">
        <v>50</v>
      </c>
      <c r="G535" s="2" t="s">
        <v>98</v>
      </c>
      <c r="H535" s="3">
        <v>7614</v>
      </c>
      <c r="I535" s="4">
        <v>15</v>
      </c>
      <c r="J535" s="5">
        <v>5.66</v>
      </c>
      <c r="K535" s="4">
        <v>80</v>
      </c>
      <c r="L535" s="3">
        <f t="shared" si="24"/>
        <v>1522.7999999999997</v>
      </c>
      <c r="M535" s="3">
        <f t="shared" si="25"/>
        <v>50.28886322002483</v>
      </c>
      <c r="N535" s="3">
        <v>91.5</v>
      </c>
      <c r="O535" s="5">
        <f t="shared" si="26"/>
        <v>54.960506251393262</v>
      </c>
      <c r="P535" s="2" t="s">
        <v>36</v>
      </c>
    </row>
    <row r="536" spans="1:16" x14ac:dyDescent="0.2">
      <c r="A536" s="2" t="s">
        <v>882</v>
      </c>
      <c r="B536" s="2" t="s">
        <v>883</v>
      </c>
      <c r="C536" s="2" t="s">
        <v>26</v>
      </c>
      <c r="D536" s="2" t="s">
        <v>27</v>
      </c>
      <c r="E536" s="2" t="s">
        <v>156</v>
      </c>
      <c r="F536" s="2" t="s">
        <v>59</v>
      </c>
      <c r="G536" s="2" t="s">
        <v>98</v>
      </c>
      <c r="H536" s="3">
        <v>7250</v>
      </c>
      <c r="I536" s="4">
        <v>20</v>
      </c>
      <c r="J536" s="5">
        <v>4.4000000000000004</v>
      </c>
      <c r="K536" s="4">
        <v>85</v>
      </c>
      <c r="L536" s="3">
        <f t="shared" si="24"/>
        <v>1087.5000000000002</v>
      </c>
      <c r="M536" s="3">
        <f t="shared" si="25"/>
        <v>38.655157001529417</v>
      </c>
      <c r="N536" s="3">
        <v>79.900000000000006</v>
      </c>
      <c r="O536" s="5">
        <f t="shared" si="26"/>
        <v>48.379420527571234</v>
      </c>
      <c r="P536" s="2" t="s">
        <v>29</v>
      </c>
    </row>
    <row r="537" spans="1:16" x14ac:dyDescent="0.2">
      <c r="A537" s="2" t="s">
        <v>884</v>
      </c>
      <c r="B537" s="2" t="s">
        <v>369</v>
      </c>
      <c r="C537" s="2" t="s">
        <v>67</v>
      </c>
      <c r="D537" s="2" t="s">
        <v>67</v>
      </c>
      <c r="E537" s="2" t="s">
        <v>58</v>
      </c>
      <c r="F537" s="2" t="s">
        <v>34</v>
      </c>
      <c r="G537" s="2" t="s">
        <v>98</v>
      </c>
      <c r="H537" s="3">
        <v>5305</v>
      </c>
      <c r="I537" s="4">
        <v>30</v>
      </c>
      <c r="J537" s="5">
        <v>4.03</v>
      </c>
      <c r="K537" s="4">
        <v>70</v>
      </c>
      <c r="L537" s="3">
        <f t="shared" si="24"/>
        <v>1591.5000000000002</v>
      </c>
      <c r="M537" s="3">
        <f t="shared" si="25"/>
        <v>17.793103473675664</v>
      </c>
      <c r="N537" s="3">
        <v>67.5</v>
      </c>
      <c r="O537" s="5">
        <f t="shared" si="26"/>
        <v>26.360153294334314</v>
      </c>
      <c r="P537" s="2" t="s">
        <v>36</v>
      </c>
    </row>
    <row r="538" spans="1:16" x14ac:dyDescent="0.2">
      <c r="A538" s="2" t="s">
        <v>885</v>
      </c>
      <c r="B538" s="2" t="s">
        <v>886</v>
      </c>
      <c r="C538" s="2" t="s">
        <v>100</v>
      </c>
      <c r="D538" s="2" t="s">
        <v>32</v>
      </c>
      <c r="E538" s="2" t="s">
        <v>81</v>
      </c>
      <c r="F538" s="2" t="s">
        <v>34</v>
      </c>
      <c r="G538" s="2" t="s">
        <v>35</v>
      </c>
      <c r="H538" s="3">
        <v>17824</v>
      </c>
      <c r="I538" s="4">
        <v>25</v>
      </c>
      <c r="J538" s="5">
        <v>5.63</v>
      </c>
      <c r="K538" s="4">
        <v>75</v>
      </c>
      <c r="L538" s="3">
        <f t="shared" si="24"/>
        <v>4456</v>
      </c>
      <c r="M538" s="3">
        <f t="shared" si="25"/>
        <v>83.132271467938594</v>
      </c>
      <c r="N538" s="3">
        <v>220.4</v>
      </c>
      <c r="O538" s="5">
        <f t="shared" si="26"/>
        <v>37.718816455507529</v>
      </c>
      <c r="P538" s="2" t="s">
        <v>36</v>
      </c>
    </row>
    <row r="539" spans="1:16" x14ac:dyDescent="0.2">
      <c r="A539" s="2" t="s">
        <v>887</v>
      </c>
      <c r="B539" s="2" t="s">
        <v>555</v>
      </c>
      <c r="C539" s="2" t="s">
        <v>91</v>
      </c>
      <c r="D539" s="2" t="s">
        <v>92</v>
      </c>
      <c r="E539" s="2" t="s">
        <v>156</v>
      </c>
      <c r="F539" s="2" t="s">
        <v>28</v>
      </c>
      <c r="G539" s="2" t="s">
        <v>22</v>
      </c>
      <c r="H539" s="3">
        <v>8636</v>
      </c>
      <c r="I539" s="4">
        <v>15</v>
      </c>
      <c r="J539" s="5">
        <v>4.5999999999999996</v>
      </c>
      <c r="K539" s="4">
        <v>75</v>
      </c>
      <c r="L539" s="3">
        <f t="shared" si="24"/>
        <v>2159</v>
      </c>
      <c r="M539" s="3">
        <f t="shared" si="25"/>
        <v>49.880279060993395</v>
      </c>
      <c r="N539" s="3">
        <v>132.30000000000001</v>
      </c>
      <c r="O539" s="5">
        <f t="shared" si="26"/>
        <v>37.702402918362345</v>
      </c>
      <c r="P539" s="2" t="s">
        <v>36</v>
      </c>
    </row>
    <row r="540" spans="1:16" x14ac:dyDescent="0.2">
      <c r="A540" s="2" t="s">
        <v>888</v>
      </c>
      <c r="B540" s="2" t="s">
        <v>411</v>
      </c>
      <c r="C540" s="2" t="s">
        <v>56</v>
      </c>
      <c r="D540" s="2" t="s">
        <v>57</v>
      </c>
      <c r="E540" s="2" t="s">
        <v>58</v>
      </c>
      <c r="F540" s="2" t="s">
        <v>34</v>
      </c>
      <c r="G540" s="2" t="s">
        <v>44</v>
      </c>
      <c r="H540" s="3">
        <v>15401</v>
      </c>
      <c r="I540" s="4">
        <v>20</v>
      </c>
      <c r="J540" s="5">
        <v>5.55</v>
      </c>
      <c r="K540" s="4">
        <v>80</v>
      </c>
      <c r="L540" s="3">
        <f t="shared" si="24"/>
        <v>3080.1999999999994</v>
      </c>
      <c r="M540" s="3">
        <f t="shared" si="25"/>
        <v>85.101534509835332</v>
      </c>
      <c r="N540" s="3">
        <v>239.5</v>
      </c>
      <c r="O540" s="5">
        <f t="shared" si="26"/>
        <v>35.532999795338341</v>
      </c>
      <c r="P540" s="2" t="s">
        <v>36</v>
      </c>
    </row>
    <row r="541" spans="1:16" x14ac:dyDescent="0.2">
      <c r="A541" s="2" t="s">
        <v>889</v>
      </c>
      <c r="B541" s="2" t="s">
        <v>365</v>
      </c>
      <c r="C541" s="2" t="s">
        <v>142</v>
      </c>
      <c r="D541" s="2" t="s">
        <v>143</v>
      </c>
      <c r="E541" s="2" t="s">
        <v>41</v>
      </c>
      <c r="F541" s="2" t="s">
        <v>50</v>
      </c>
      <c r="G541" s="2" t="s">
        <v>35</v>
      </c>
      <c r="H541" s="3">
        <v>15314</v>
      </c>
      <c r="I541" s="4">
        <v>15</v>
      </c>
      <c r="J541" s="5">
        <v>5.4</v>
      </c>
      <c r="K541" s="4">
        <v>85</v>
      </c>
      <c r="L541" s="3">
        <f t="shared" si="24"/>
        <v>2297.1000000000004</v>
      </c>
      <c r="M541" s="3">
        <f t="shared" si="25"/>
        <v>105.66945107279767</v>
      </c>
      <c r="N541" s="3">
        <v>199.7</v>
      </c>
      <c r="O541" s="5">
        <f t="shared" si="26"/>
        <v>52.914096681420972</v>
      </c>
      <c r="P541" s="2" t="s">
        <v>36</v>
      </c>
    </row>
    <row r="542" spans="1:16" x14ac:dyDescent="0.2">
      <c r="A542" s="2" t="s">
        <v>890</v>
      </c>
      <c r="B542" s="2" t="s">
        <v>891</v>
      </c>
      <c r="C542" s="2" t="s">
        <v>62</v>
      </c>
      <c r="D542" s="2" t="s">
        <v>63</v>
      </c>
      <c r="E542" s="2" t="s">
        <v>49</v>
      </c>
      <c r="F542" s="2" t="s">
        <v>50</v>
      </c>
      <c r="G542" s="2" t="s">
        <v>44</v>
      </c>
      <c r="H542" s="3">
        <v>6135</v>
      </c>
      <c r="I542" s="4">
        <v>25</v>
      </c>
      <c r="J542" s="5">
        <v>3.9</v>
      </c>
      <c r="K542" s="4">
        <v>70</v>
      </c>
      <c r="L542" s="3">
        <f t="shared" si="24"/>
        <v>1840.5000000000002</v>
      </c>
      <c r="M542" s="3">
        <f t="shared" si="25"/>
        <v>22.431503640789785</v>
      </c>
      <c r="N542" s="3">
        <v>76.099999999999994</v>
      </c>
      <c r="O542" s="5">
        <f t="shared" si="26"/>
        <v>29.476351696175808</v>
      </c>
      <c r="P542" s="2" t="s">
        <v>36</v>
      </c>
    </row>
    <row r="543" spans="1:16" x14ac:dyDescent="0.2">
      <c r="A543" s="2" t="s">
        <v>892</v>
      </c>
      <c r="B543" s="2" t="s">
        <v>332</v>
      </c>
      <c r="C543" s="2" t="s">
        <v>175</v>
      </c>
      <c r="D543" s="2" t="s">
        <v>176</v>
      </c>
      <c r="E543" s="2" t="s">
        <v>97</v>
      </c>
      <c r="F543" s="2" t="s">
        <v>34</v>
      </c>
      <c r="G543" s="2" t="s">
        <v>22</v>
      </c>
      <c r="H543" s="3">
        <v>1514</v>
      </c>
      <c r="I543" s="4">
        <v>30</v>
      </c>
      <c r="J543" s="5">
        <v>4.8499999999999996</v>
      </c>
      <c r="K543" s="4">
        <v>90</v>
      </c>
      <c r="L543" s="3">
        <f t="shared" si="24"/>
        <v>151.39999999999998</v>
      </c>
      <c r="M543" s="3">
        <f t="shared" si="25"/>
        <v>7.1903288424819305</v>
      </c>
      <c r="N543" s="3">
        <v>20.399999999999999</v>
      </c>
      <c r="O543" s="5">
        <f t="shared" si="26"/>
        <v>35.246710012166325</v>
      </c>
      <c r="P543" s="2" t="s">
        <v>23</v>
      </c>
    </row>
    <row r="544" spans="1:16" x14ac:dyDescent="0.2">
      <c r="A544" s="2" t="s">
        <v>893</v>
      </c>
      <c r="B544" s="2" t="s">
        <v>583</v>
      </c>
      <c r="C544" s="2" t="s">
        <v>77</v>
      </c>
      <c r="D544" s="2" t="s">
        <v>19</v>
      </c>
      <c r="E544" s="2" t="s">
        <v>177</v>
      </c>
      <c r="F544" s="2" t="s">
        <v>34</v>
      </c>
      <c r="G544" s="2" t="s">
        <v>35</v>
      </c>
      <c r="H544" s="3">
        <v>10531</v>
      </c>
      <c r="I544" s="4">
        <v>25</v>
      </c>
      <c r="J544" s="5">
        <v>4.4000000000000004</v>
      </c>
      <c r="K544" s="4">
        <v>70</v>
      </c>
      <c r="L544" s="3">
        <f t="shared" si="24"/>
        <v>3159.3000000000006</v>
      </c>
      <c r="M544" s="3">
        <f t="shared" si="25"/>
        <v>40.557008531324158</v>
      </c>
      <c r="N544" s="3">
        <v>126</v>
      </c>
      <c r="O544" s="5">
        <f t="shared" si="26"/>
        <v>32.188102008987428</v>
      </c>
      <c r="P544" s="2" t="s">
        <v>36</v>
      </c>
    </row>
    <row r="545" spans="1:16" x14ac:dyDescent="0.2">
      <c r="A545" s="2" t="s">
        <v>894</v>
      </c>
      <c r="B545" s="2" t="s">
        <v>459</v>
      </c>
      <c r="C545" s="2" t="s">
        <v>153</v>
      </c>
      <c r="D545" s="2" t="s">
        <v>19</v>
      </c>
      <c r="E545" s="2" t="s">
        <v>58</v>
      </c>
      <c r="F545" s="2" t="s">
        <v>28</v>
      </c>
      <c r="G545" s="2" t="s">
        <v>22</v>
      </c>
      <c r="H545" s="3">
        <v>17301</v>
      </c>
      <c r="I545" s="4">
        <v>30</v>
      </c>
      <c r="J545" s="5">
        <v>4.13</v>
      </c>
      <c r="K545" s="4">
        <v>70</v>
      </c>
      <c r="L545" s="3">
        <f t="shared" si="24"/>
        <v>5190.3000000000011</v>
      </c>
      <c r="M545" s="3">
        <f t="shared" si="25"/>
        <v>58.729661566458184</v>
      </c>
      <c r="N545" s="3">
        <v>274.7</v>
      </c>
      <c r="O545" s="5">
        <f t="shared" si="26"/>
        <v>21.379563730053945</v>
      </c>
      <c r="P545" s="2" t="s">
        <v>36</v>
      </c>
    </row>
    <row r="546" spans="1:16" x14ac:dyDescent="0.2">
      <c r="A546" s="2" t="s">
        <v>895</v>
      </c>
      <c r="B546" s="2" t="s">
        <v>155</v>
      </c>
      <c r="C546" s="2" t="s">
        <v>119</v>
      </c>
      <c r="D546" s="2" t="s">
        <v>120</v>
      </c>
      <c r="E546" s="2" t="s">
        <v>114</v>
      </c>
      <c r="F546" s="2" t="s">
        <v>21</v>
      </c>
      <c r="G546" s="2" t="s">
        <v>98</v>
      </c>
      <c r="H546" s="3">
        <v>9807</v>
      </c>
      <c r="I546" s="4">
        <v>15</v>
      </c>
      <c r="J546" s="5">
        <v>4.82</v>
      </c>
      <c r="K546" s="4">
        <v>85</v>
      </c>
      <c r="L546" s="3">
        <f t="shared" si="24"/>
        <v>1471.0500000000002</v>
      </c>
      <c r="M546" s="3">
        <f t="shared" si="25"/>
        <v>65.141182856501146</v>
      </c>
      <c r="N546" s="3">
        <v>165</v>
      </c>
      <c r="O546" s="5">
        <f t="shared" si="26"/>
        <v>39.479504761515841</v>
      </c>
      <c r="P546" s="2" t="s">
        <v>23</v>
      </c>
    </row>
    <row r="547" spans="1:16" x14ac:dyDescent="0.2">
      <c r="A547" s="2" t="s">
        <v>896</v>
      </c>
      <c r="B547" s="2" t="s">
        <v>118</v>
      </c>
      <c r="C547" s="2" t="s">
        <v>18</v>
      </c>
      <c r="D547" s="2" t="s">
        <v>19</v>
      </c>
      <c r="E547" s="2" t="s">
        <v>114</v>
      </c>
      <c r="F547" s="2" t="s">
        <v>21</v>
      </c>
      <c r="G547" s="2" t="s">
        <v>98</v>
      </c>
      <c r="H547" s="3">
        <v>8987</v>
      </c>
      <c r="I547" s="4">
        <v>25</v>
      </c>
      <c r="J547" s="5">
        <v>4.7</v>
      </c>
      <c r="K547" s="4">
        <v>75</v>
      </c>
      <c r="L547" s="3">
        <f t="shared" si="24"/>
        <v>2246.75</v>
      </c>
      <c r="M547" s="3">
        <f t="shared" si="25"/>
        <v>38.233749504127225</v>
      </c>
      <c r="N547" s="3">
        <v>119.1</v>
      </c>
      <c r="O547" s="5">
        <f t="shared" si="26"/>
        <v>32.102224604640824</v>
      </c>
      <c r="P547" s="2" t="s">
        <v>36</v>
      </c>
    </row>
    <row r="548" spans="1:16" x14ac:dyDescent="0.2">
      <c r="A548" s="2" t="s">
        <v>897</v>
      </c>
      <c r="B548" s="2" t="s">
        <v>418</v>
      </c>
      <c r="C548" s="2" t="s">
        <v>32</v>
      </c>
      <c r="D548" s="2" t="s">
        <v>32</v>
      </c>
      <c r="E548" s="2" t="s">
        <v>68</v>
      </c>
      <c r="F548" s="2" t="s">
        <v>50</v>
      </c>
      <c r="G548" s="2" t="s">
        <v>44</v>
      </c>
      <c r="H548" s="3">
        <v>8114</v>
      </c>
      <c r="I548" s="4">
        <v>30</v>
      </c>
      <c r="J548" s="5">
        <v>4.46</v>
      </c>
      <c r="K548" s="4">
        <v>80</v>
      </c>
      <c r="L548" s="3">
        <f t="shared" si="24"/>
        <v>1622.7999999999997</v>
      </c>
      <c r="M548" s="3">
        <f t="shared" si="25"/>
        <v>32.73586001204837</v>
      </c>
      <c r="N548" s="3">
        <v>106.9</v>
      </c>
      <c r="O548" s="5">
        <f t="shared" si="26"/>
        <v>30.622881208651421</v>
      </c>
      <c r="P548" s="2" t="s">
        <v>36</v>
      </c>
    </row>
    <row r="549" spans="1:16" x14ac:dyDescent="0.2">
      <c r="A549" s="2" t="s">
        <v>898</v>
      </c>
      <c r="B549" s="2" t="s">
        <v>867</v>
      </c>
      <c r="C549" s="2" t="s">
        <v>153</v>
      </c>
      <c r="D549" s="2" t="s">
        <v>19</v>
      </c>
      <c r="E549" s="2" t="s">
        <v>64</v>
      </c>
      <c r="F549" s="2" t="s">
        <v>50</v>
      </c>
      <c r="G549" s="2" t="s">
        <v>98</v>
      </c>
      <c r="H549" s="3">
        <v>5326</v>
      </c>
      <c r="I549" s="4">
        <v>25</v>
      </c>
      <c r="J549" s="5">
        <v>5.27</v>
      </c>
      <c r="K549" s="4">
        <v>75</v>
      </c>
      <c r="L549" s="3">
        <f t="shared" si="24"/>
        <v>1331.5</v>
      </c>
      <c r="M549" s="3">
        <f t="shared" si="25"/>
        <v>23.984105838767459</v>
      </c>
      <c r="N549" s="3">
        <v>65.400000000000006</v>
      </c>
      <c r="O549" s="5">
        <f t="shared" si="26"/>
        <v>36.672944707595498</v>
      </c>
      <c r="P549" s="2" t="s">
        <v>36</v>
      </c>
    </row>
    <row r="550" spans="1:16" x14ac:dyDescent="0.2">
      <c r="A550" s="2" t="s">
        <v>899</v>
      </c>
      <c r="B550" s="2" t="s">
        <v>686</v>
      </c>
      <c r="C550" s="2" t="s">
        <v>56</v>
      </c>
      <c r="D550" s="2" t="s">
        <v>57</v>
      </c>
      <c r="E550" s="2" t="s">
        <v>97</v>
      </c>
      <c r="F550" s="2" t="s">
        <v>59</v>
      </c>
      <c r="G550" s="2" t="s">
        <v>22</v>
      </c>
      <c r="H550" s="3">
        <v>9172</v>
      </c>
      <c r="I550" s="4">
        <v>20</v>
      </c>
      <c r="J550" s="5">
        <v>5.29</v>
      </c>
      <c r="K550" s="4">
        <v>80</v>
      </c>
      <c r="L550" s="3">
        <f t="shared" si="24"/>
        <v>1834.3999999999996</v>
      </c>
      <c r="M550" s="3">
        <f t="shared" si="25"/>
        <v>49.608098512140558</v>
      </c>
      <c r="N550" s="3">
        <v>113.1</v>
      </c>
      <c r="O550" s="5">
        <f t="shared" si="26"/>
        <v>43.86215606732145</v>
      </c>
      <c r="P550" s="2" t="s">
        <v>36</v>
      </c>
    </row>
    <row r="551" spans="1:16" x14ac:dyDescent="0.2">
      <c r="A551" s="2" t="s">
        <v>900</v>
      </c>
      <c r="B551" s="2" t="s">
        <v>396</v>
      </c>
      <c r="C551" s="2" t="s">
        <v>84</v>
      </c>
      <c r="D551" s="2" t="s">
        <v>85</v>
      </c>
      <c r="E551" s="2" t="s">
        <v>177</v>
      </c>
      <c r="F551" s="2" t="s">
        <v>59</v>
      </c>
      <c r="G551" s="2" t="s">
        <v>44</v>
      </c>
      <c r="H551" s="3">
        <v>3829</v>
      </c>
      <c r="I551" s="4">
        <v>20</v>
      </c>
      <c r="J551" s="5">
        <v>5.51</v>
      </c>
      <c r="K551" s="4">
        <v>80</v>
      </c>
      <c r="L551" s="3">
        <f t="shared" si="24"/>
        <v>765.79999999999984</v>
      </c>
      <c r="M551" s="3">
        <f t="shared" si="25"/>
        <v>21.088668658454633</v>
      </c>
      <c r="N551" s="3">
        <v>44.6</v>
      </c>
      <c r="O551" s="5">
        <f t="shared" si="26"/>
        <v>47.284010444965546</v>
      </c>
      <c r="P551" s="2" t="s">
        <v>36</v>
      </c>
    </row>
    <row r="552" spans="1:16" x14ac:dyDescent="0.2">
      <c r="A552" s="2" t="s">
        <v>901</v>
      </c>
      <c r="B552" s="2" t="s">
        <v>499</v>
      </c>
      <c r="C552" s="2" t="s">
        <v>53</v>
      </c>
      <c r="D552" s="2" t="s">
        <v>19</v>
      </c>
      <c r="E552" s="2" t="s">
        <v>81</v>
      </c>
      <c r="F552" s="2" t="s">
        <v>21</v>
      </c>
      <c r="G552" s="2" t="s">
        <v>98</v>
      </c>
      <c r="H552" s="3">
        <v>5312</v>
      </c>
      <c r="I552" s="4">
        <v>20</v>
      </c>
      <c r="J552" s="5">
        <v>5</v>
      </c>
      <c r="K552" s="4">
        <v>80</v>
      </c>
      <c r="L552" s="3">
        <f t="shared" si="24"/>
        <v>1062.3999999999999</v>
      </c>
      <c r="M552" s="3">
        <f t="shared" si="25"/>
        <v>28.045479093751077</v>
      </c>
      <c r="N552" s="3">
        <v>60.3</v>
      </c>
      <c r="O552" s="5">
        <f t="shared" si="26"/>
        <v>46.509915578359994</v>
      </c>
      <c r="P552" s="2" t="s">
        <v>36</v>
      </c>
    </row>
    <row r="553" spans="1:16" x14ac:dyDescent="0.2">
      <c r="A553" s="2" t="s">
        <v>902</v>
      </c>
      <c r="B553" s="2" t="s">
        <v>441</v>
      </c>
      <c r="C553" s="2" t="s">
        <v>39</v>
      </c>
      <c r="D553" s="2" t="s">
        <v>40</v>
      </c>
      <c r="E553" s="2" t="s">
        <v>41</v>
      </c>
      <c r="F553" s="2" t="s">
        <v>50</v>
      </c>
      <c r="G553" s="2" t="s">
        <v>98</v>
      </c>
      <c r="H553" s="3">
        <v>17675</v>
      </c>
      <c r="I553" s="4">
        <v>25</v>
      </c>
      <c r="J553" s="5">
        <v>5.48</v>
      </c>
      <c r="K553" s="4">
        <v>70</v>
      </c>
      <c r="L553" s="3">
        <f t="shared" si="24"/>
        <v>5302.5000000000009</v>
      </c>
      <c r="M553" s="3">
        <f t="shared" si="25"/>
        <v>75.830270332677514</v>
      </c>
      <c r="N553" s="3">
        <v>247.4</v>
      </c>
      <c r="O553" s="5">
        <f t="shared" si="26"/>
        <v>30.650877256539012</v>
      </c>
      <c r="P553" s="2" t="s">
        <v>69</v>
      </c>
    </row>
    <row r="554" spans="1:16" x14ac:dyDescent="0.2">
      <c r="A554" s="2" t="s">
        <v>903</v>
      </c>
      <c r="B554" s="2" t="s">
        <v>330</v>
      </c>
      <c r="C554" s="2" t="s">
        <v>77</v>
      </c>
      <c r="D554" s="2" t="s">
        <v>19</v>
      </c>
      <c r="E554" s="2" t="s">
        <v>74</v>
      </c>
      <c r="F554" s="2" t="s">
        <v>34</v>
      </c>
      <c r="G554" s="2" t="s">
        <v>44</v>
      </c>
      <c r="H554" s="3">
        <v>11599</v>
      </c>
      <c r="I554" s="4">
        <v>25</v>
      </c>
      <c r="J554" s="5">
        <v>4.88</v>
      </c>
      <c r="K554" s="4">
        <v>75</v>
      </c>
      <c r="L554" s="3">
        <f t="shared" si="24"/>
        <v>2899.75</v>
      </c>
      <c r="M554" s="3">
        <f t="shared" si="25"/>
        <v>50.248598555586526</v>
      </c>
      <c r="N554" s="3">
        <v>137.5</v>
      </c>
      <c r="O554" s="5">
        <f t="shared" si="26"/>
        <v>36.544435313153841</v>
      </c>
      <c r="P554" s="2" t="s">
        <v>69</v>
      </c>
    </row>
    <row r="555" spans="1:16" x14ac:dyDescent="0.2">
      <c r="A555" s="2" t="s">
        <v>904</v>
      </c>
      <c r="B555" s="2" t="s">
        <v>617</v>
      </c>
      <c r="C555" s="2" t="s">
        <v>53</v>
      </c>
      <c r="D555" s="2" t="s">
        <v>19</v>
      </c>
      <c r="E555" s="2" t="s">
        <v>156</v>
      </c>
      <c r="F555" s="2" t="s">
        <v>21</v>
      </c>
      <c r="G555" s="2" t="s">
        <v>22</v>
      </c>
      <c r="H555" s="3">
        <v>11379</v>
      </c>
      <c r="I555" s="4">
        <v>25</v>
      </c>
      <c r="J555" s="5">
        <v>4.82</v>
      </c>
      <c r="K555" s="4">
        <v>80</v>
      </c>
      <c r="L555" s="3">
        <f t="shared" si="24"/>
        <v>2275.7999999999993</v>
      </c>
      <c r="M555" s="3">
        <f t="shared" si="25"/>
        <v>52.266104801070995</v>
      </c>
      <c r="N555" s="3">
        <v>143.1</v>
      </c>
      <c r="O555" s="5">
        <f t="shared" si="26"/>
        <v>36.524182250923126</v>
      </c>
      <c r="P555" s="2" t="s">
        <v>36</v>
      </c>
    </row>
    <row r="556" spans="1:16" x14ac:dyDescent="0.2">
      <c r="A556" s="2" t="s">
        <v>905</v>
      </c>
      <c r="B556" s="2" t="s">
        <v>340</v>
      </c>
      <c r="C556" s="2" t="s">
        <v>146</v>
      </c>
      <c r="D556" s="2" t="s">
        <v>19</v>
      </c>
      <c r="E556" s="2" t="s">
        <v>33</v>
      </c>
      <c r="F556" s="2" t="s">
        <v>21</v>
      </c>
      <c r="G556" s="2" t="s">
        <v>44</v>
      </c>
      <c r="H556" s="3">
        <v>6178</v>
      </c>
      <c r="I556" s="4">
        <v>25</v>
      </c>
      <c r="J556" s="5">
        <v>4.8899999999999997</v>
      </c>
      <c r="K556" s="4">
        <v>80</v>
      </c>
      <c r="L556" s="3">
        <f t="shared" si="24"/>
        <v>1235.5999999999997</v>
      </c>
      <c r="M556" s="3">
        <f t="shared" si="25"/>
        <v>28.576912476641354</v>
      </c>
      <c r="N556" s="3">
        <v>109.4</v>
      </c>
      <c r="O556" s="5">
        <f t="shared" si="26"/>
        <v>26.12149220899575</v>
      </c>
      <c r="P556" s="2" t="s">
        <v>36</v>
      </c>
    </row>
    <row r="557" spans="1:16" x14ac:dyDescent="0.2">
      <c r="A557" s="2" t="s">
        <v>906</v>
      </c>
      <c r="B557" s="2" t="s">
        <v>907</v>
      </c>
      <c r="C557" s="2" t="s">
        <v>77</v>
      </c>
      <c r="D557" s="2" t="s">
        <v>19</v>
      </c>
      <c r="E557" s="2" t="s">
        <v>64</v>
      </c>
      <c r="F557" s="2" t="s">
        <v>50</v>
      </c>
      <c r="G557" s="2" t="s">
        <v>44</v>
      </c>
      <c r="H557" s="3">
        <v>14580</v>
      </c>
      <c r="I557" s="4">
        <v>25</v>
      </c>
      <c r="J557" s="5">
        <v>4.9800000000000004</v>
      </c>
      <c r="K557" s="4">
        <v>80</v>
      </c>
      <c r="L557" s="3">
        <f t="shared" si="24"/>
        <v>2915.9999999999995</v>
      </c>
      <c r="M557" s="3">
        <f t="shared" si="25"/>
        <v>68.050736513229623</v>
      </c>
      <c r="N557" s="3">
        <v>212.4</v>
      </c>
      <c r="O557" s="5">
        <f t="shared" si="26"/>
        <v>32.038953160654252</v>
      </c>
      <c r="P557" s="2" t="s">
        <v>69</v>
      </c>
    </row>
    <row r="558" spans="1:16" x14ac:dyDescent="0.2">
      <c r="A558" s="2" t="s">
        <v>908</v>
      </c>
      <c r="B558" s="2" t="s">
        <v>504</v>
      </c>
      <c r="C558" s="2" t="s">
        <v>18</v>
      </c>
      <c r="D558" s="2" t="s">
        <v>19</v>
      </c>
      <c r="E558" s="2" t="s">
        <v>156</v>
      </c>
      <c r="F558" s="2" t="s">
        <v>21</v>
      </c>
      <c r="G558" s="2" t="s">
        <v>35</v>
      </c>
      <c r="H558" s="3">
        <v>14048</v>
      </c>
      <c r="I558" s="4">
        <v>20</v>
      </c>
      <c r="J558" s="5">
        <v>5.15</v>
      </c>
      <c r="K558" s="4">
        <v>75</v>
      </c>
      <c r="L558" s="3">
        <f t="shared" si="24"/>
        <v>3512</v>
      </c>
      <c r="M558" s="3">
        <f t="shared" si="25"/>
        <v>70.408941828652488</v>
      </c>
      <c r="N558" s="3">
        <v>226.8</v>
      </c>
      <c r="O558" s="5">
        <f t="shared" si="26"/>
        <v>31.044506979123671</v>
      </c>
      <c r="P558" s="2" t="s">
        <v>29</v>
      </c>
    </row>
    <row r="559" spans="1:16" x14ac:dyDescent="0.2">
      <c r="A559" s="2" t="s">
        <v>909</v>
      </c>
      <c r="B559" s="2" t="s">
        <v>312</v>
      </c>
      <c r="C559" s="2" t="s">
        <v>67</v>
      </c>
      <c r="D559" s="2" t="s">
        <v>67</v>
      </c>
      <c r="E559" s="2" t="s">
        <v>58</v>
      </c>
      <c r="F559" s="2" t="s">
        <v>21</v>
      </c>
      <c r="G559" s="2" t="s">
        <v>35</v>
      </c>
      <c r="H559" s="3">
        <v>7262</v>
      </c>
      <c r="I559" s="4">
        <v>20</v>
      </c>
      <c r="J559" s="5">
        <v>4.5</v>
      </c>
      <c r="K559" s="4">
        <v>85</v>
      </c>
      <c r="L559" s="3">
        <f t="shared" si="24"/>
        <v>1089.3000000000002</v>
      </c>
      <c r="M559" s="3">
        <f t="shared" si="25"/>
        <v>39.051548045929614</v>
      </c>
      <c r="N559" s="3">
        <v>118.9</v>
      </c>
      <c r="O559" s="5">
        <f t="shared" si="26"/>
        <v>32.844026952001357</v>
      </c>
      <c r="P559" s="2" t="s">
        <v>36</v>
      </c>
    </row>
    <row r="560" spans="1:16" x14ac:dyDescent="0.2">
      <c r="A560" s="2" t="s">
        <v>910</v>
      </c>
      <c r="B560" s="2" t="s">
        <v>187</v>
      </c>
      <c r="C560" s="2" t="s">
        <v>67</v>
      </c>
      <c r="D560" s="2" t="s">
        <v>67</v>
      </c>
      <c r="E560" s="2" t="s">
        <v>88</v>
      </c>
      <c r="F560" s="2" t="s">
        <v>59</v>
      </c>
      <c r="G560" s="2" t="s">
        <v>98</v>
      </c>
      <c r="H560" s="3">
        <v>6492</v>
      </c>
      <c r="I560" s="4">
        <v>25</v>
      </c>
      <c r="J560" s="5">
        <v>4.49</v>
      </c>
      <c r="K560" s="4">
        <v>85</v>
      </c>
      <c r="L560" s="3">
        <f t="shared" si="24"/>
        <v>973.80000000000018</v>
      </c>
      <c r="M560" s="3">
        <f t="shared" si="25"/>
        <v>30.640634744950088</v>
      </c>
      <c r="N560" s="3">
        <v>80.900000000000006</v>
      </c>
      <c r="O560" s="5">
        <f t="shared" si="26"/>
        <v>37.874703022187994</v>
      </c>
      <c r="P560" s="2" t="s">
        <v>36</v>
      </c>
    </row>
    <row r="561" spans="1:16" x14ac:dyDescent="0.2">
      <c r="A561" s="2" t="s">
        <v>911</v>
      </c>
      <c r="B561" s="2" t="s">
        <v>912</v>
      </c>
      <c r="C561" s="2" t="s">
        <v>153</v>
      </c>
      <c r="D561" s="2" t="s">
        <v>19</v>
      </c>
      <c r="E561" s="2" t="s">
        <v>58</v>
      </c>
      <c r="F561" s="2" t="s">
        <v>21</v>
      </c>
      <c r="G561" s="2" t="s">
        <v>44</v>
      </c>
      <c r="H561" s="3">
        <v>2944</v>
      </c>
      <c r="I561" s="4">
        <v>20</v>
      </c>
      <c r="J561" s="5">
        <v>5.34</v>
      </c>
      <c r="K561" s="4">
        <v>80</v>
      </c>
      <c r="L561" s="3">
        <f t="shared" si="24"/>
        <v>588.79999999999984</v>
      </c>
      <c r="M561" s="3">
        <f t="shared" si="25"/>
        <v>15.989027910781697</v>
      </c>
      <c r="N561" s="3">
        <v>41.1</v>
      </c>
      <c r="O561" s="5">
        <f t="shared" si="26"/>
        <v>38.902744308471284</v>
      </c>
      <c r="P561" s="2" t="s">
        <v>36</v>
      </c>
    </row>
    <row r="562" spans="1:16" x14ac:dyDescent="0.2">
      <c r="A562" s="2" t="s">
        <v>913</v>
      </c>
      <c r="B562" s="2" t="s">
        <v>661</v>
      </c>
      <c r="C562" s="2" t="s">
        <v>100</v>
      </c>
      <c r="D562" s="2" t="s">
        <v>32</v>
      </c>
      <c r="E562" s="2" t="s">
        <v>97</v>
      </c>
      <c r="F562" s="2" t="s">
        <v>50</v>
      </c>
      <c r="G562" s="2" t="s">
        <v>35</v>
      </c>
      <c r="H562" s="3">
        <v>4094</v>
      </c>
      <c r="I562" s="4">
        <v>30</v>
      </c>
      <c r="J562" s="5">
        <v>5.65</v>
      </c>
      <c r="K562" s="4">
        <v>90</v>
      </c>
      <c r="L562" s="3">
        <f t="shared" si="24"/>
        <v>409.39999999999992</v>
      </c>
      <c r="M562" s="3">
        <f t="shared" si="25"/>
        <v>21.268829904001748</v>
      </c>
      <c r="N562" s="3">
        <v>48.9</v>
      </c>
      <c r="O562" s="5">
        <f t="shared" si="26"/>
        <v>43.49453968098517</v>
      </c>
      <c r="P562" s="2" t="s">
        <v>23</v>
      </c>
    </row>
    <row r="563" spans="1:16" x14ac:dyDescent="0.2">
      <c r="A563" s="2" t="s">
        <v>914</v>
      </c>
      <c r="B563" s="2" t="s">
        <v>90</v>
      </c>
      <c r="C563" s="2" t="s">
        <v>175</v>
      </c>
      <c r="D563" s="2" t="s">
        <v>176</v>
      </c>
      <c r="E563" s="2" t="s">
        <v>64</v>
      </c>
      <c r="F563" s="2" t="s">
        <v>50</v>
      </c>
      <c r="G563" s="2" t="s">
        <v>44</v>
      </c>
      <c r="H563" s="3">
        <v>15444</v>
      </c>
      <c r="I563" s="4">
        <v>20</v>
      </c>
      <c r="J563" s="5">
        <v>5.22</v>
      </c>
      <c r="K563" s="4">
        <v>85</v>
      </c>
      <c r="L563" s="3">
        <f t="shared" si="24"/>
        <v>2316.6000000000004</v>
      </c>
      <c r="M563" s="3">
        <f t="shared" si="25"/>
        <v>88.238359788753201</v>
      </c>
      <c r="N563" s="3">
        <v>167.1</v>
      </c>
      <c r="O563" s="5">
        <f t="shared" si="26"/>
        <v>52.805720998655417</v>
      </c>
      <c r="P563" s="2" t="s">
        <v>36</v>
      </c>
    </row>
    <row r="564" spans="1:16" x14ac:dyDescent="0.2">
      <c r="A564" s="2" t="s">
        <v>915</v>
      </c>
      <c r="B564" s="2" t="s">
        <v>118</v>
      </c>
      <c r="C564" s="2" t="s">
        <v>142</v>
      </c>
      <c r="D564" s="2" t="s">
        <v>143</v>
      </c>
      <c r="E564" s="2" t="s">
        <v>20</v>
      </c>
      <c r="F564" s="2" t="s">
        <v>21</v>
      </c>
      <c r="G564" s="2" t="s">
        <v>22</v>
      </c>
      <c r="H564" s="3">
        <v>7171</v>
      </c>
      <c r="I564" s="4">
        <v>15</v>
      </c>
      <c r="J564" s="5">
        <v>4.55</v>
      </c>
      <c r="K564" s="4">
        <v>80</v>
      </c>
      <c r="L564" s="3">
        <f t="shared" si="24"/>
        <v>1434.1999999999996</v>
      </c>
      <c r="M564" s="3">
        <f t="shared" si="25"/>
        <v>44.032873543808144</v>
      </c>
      <c r="N564" s="3">
        <v>99.7</v>
      </c>
      <c r="O564" s="5">
        <f t="shared" si="26"/>
        <v>44.165369652766437</v>
      </c>
      <c r="P564" s="2" t="s">
        <v>69</v>
      </c>
    </row>
    <row r="565" spans="1:16" x14ac:dyDescent="0.2">
      <c r="A565" s="2" t="s">
        <v>916</v>
      </c>
      <c r="B565" s="2" t="s">
        <v>612</v>
      </c>
      <c r="C565" s="2" t="s">
        <v>56</v>
      </c>
      <c r="D565" s="2" t="s">
        <v>57</v>
      </c>
      <c r="E565" s="2" t="s">
        <v>33</v>
      </c>
      <c r="F565" s="2" t="s">
        <v>28</v>
      </c>
      <c r="G565" s="2" t="s">
        <v>98</v>
      </c>
      <c r="H565" s="3">
        <v>10617</v>
      </c>
      <c r="I565" s="4">
        <v>25</v>
      </c>
      <c r="J565" s="5">
        <v>5.03</v>
      </c>
      <c r="K565" s="4">
        <v>70</v>
      </c>
      <c r="L565" s="3">
        <f t="shared" si="24"/>
        <v>3185.1000000000004</v>
      </c>
      <c r="M565" s="3">
        <f t="shared" si="25"/>
        <v>43.576146786062985</v>
      </c>
      <c r="N565" s="3">
        <v>154</v>
      </c>
      <c r="O565" s="5">
        <f t="shared" si="26"/>
        <v>28.29619921172921</v>
      </c>
      <c r="P565" s="2" t="s">
        <v>36</v>
      </c>
    </row>
    <row r="566" spans="1:16" x14ac:dyDescent="0.2">
      <c r="A566" s="2" t="s">
        <v>917</v>
      </c>
      <c r="B566" s="2" t="s">
        <v>262</v>
      </c>
      <c r="C566" s="2" t="s">
        <v>26</v>
      </c>
      <c r="D566" s="2" t="s">
        <v>27</v>
      </c>
      <c r="E566" s="2" t="s">
        <v>177</v>
      </c>
      <c r="F566" s="2" t="s">
        <v>59</v>
      </c>
      <c r="G566" s="2" t="s">
        <v>35</v>
      </c>
      <c r="H566" s="3">
        <v>5386</v>
      </c>
      <c r="I566" s="4">
        <v>20</v>
      </c>
      <c r="J566" s="5">
        <v>5.31</v>
      </c>
      <c r="K566" s="4">
        <v>80</v>
      </c>
      <c r="L566" s="3">
        <f t="shared" si="24"/>
        <v>1077.1999999999998</v>
      </c>
      <c r="M566" s="3">
        <f t="shared" si="25"/>
        <v>29.179213932816776</v>
      </c>
      <c r="N566" s="3">
        <v>72.900000000000006</v>
      </c>
      <c r="O566" s="5">
        <f t="shared" si="26"/>
        <v>40.026356560791179</v>
      </c>
      <c r="P566" s="2" t="s">
        <v>36</v>
      </c>
    </row>
    <row r="567" spans="1:16" x14ac:dyDescent="0.2">
      <c r="A567" s="2" t="s">
        <v>918</v>
      </c>
      <c r="B567" s="2" t="s">
        <v>328</v>
      </c>
      <c r="C567" s="2" t="s">
        <v>53</v>
      </c>
      <c r="D567" s="2" t="s">
        <v>19</v>
      </c>
      <c r="E567" s="2" t="s">
        <v>74</v>
      </c>
      <c r="F567" s="2" t="s">
        <v>28</v>
      </c>
      <c r="G567" s="2" t="s">
        <v>22</v>
      </c>
      <c r="H567" s="3">
        <v>10875</v>
      </c>
      <c r="I567" s="4">
        <v>25</v>
      </c>
      <c r="J567" s="5">
        <v>4.2300000000000004</v>
      </c>
      <c r="K567" s="4">
        <v>70</v>
      </c>
      <c r="L567" s="3">
        <f t="shared" si="24"/>
        <v>3262.5000000000005</v>
      </c>
      <c r="M567" s="3">
        <f t="shared" si="25"/>
        <v>41.154610685956676</v>
      </c>
      <c r="N567" s="3">
        <v>151.6</v>
      </c>
      <c r="O567" s="5">
        <f t="shared" si="26"/>
        <v>27.146840821871159</v>
      </c>
      <c r="P567" s="2" t="s">
        <v>23</v>
      </c>
    </row>
    <row r="568" spans="1:16" x14ac:dyDescent="0.2">
      <c r="A568" s="2" t="s">
        <v>919</v>
      </c>
      <c r="B568" s="2" t="s">
        <v>789</v>
      </c>
      <c r="C568" s="2" t="s">
        <v>47</v>
      </c>
      <c r="D568" s="2" t="s">
        <v>48</v>
      </c>
      <c r="E568" s="2" t="s">
        <v>78</v>
      </c>
      <c r="F568" s="2" t="s">
        <v>21</v>
      </c>
      <c r="G568" s="2" t="s">
        <v>98</v>
      </c>
      <c r="H568" s="3">
        <v>7253</v>
      </c>
      <c r="I568" s="4">
        <v>25</v>
      </c>
      <c r="J568" s="5">
        <v>4.9400000000000004</v>
      </c>
      <c r="K568" s="4">
        <v>80</v>
      </c>
      <c r="L568" s="3">
        <f t="shared" si="24"/>
        <v>1450.5999999999997</v>
      </c>
      <c r="M568" s="3">
        <f t="shared" si="25"/>
        <v>33.717724333952184</v>
      </c>
      <c r="N568" s="3">
        <v>126.6</v>
      </c>
      <c r="O568" s="5">
        <f t="shared" si="26"/>
        <v>26.633273565523051</v>
      </c>
      <c r="P568" s="2" t="s">
        <v>36</v>
      </c>
    </row>
    <row r="569" spans="1:16" x14ac:dyDescent="0.2">
      <c r="A569" s="2" t="s">
        <v>920</v>
      </c>
      <c r="B569" s="2" t="s">
        <v>396</v>
      </c>
      <c r="C569" s="2" t="s">
        <v>84</v>
      </c>
      <c r="D569" s="2" t="s">
        <v>85</v>
      </c>
      <c r="E569" s="2" t="s">
        <v>68</v>
      </c>
      <c r="F569" s="2" t="s">
        <v>59</v>
      </c>
      <c r="G569" s="2" t="s">
        <v>35</v>
      </c>
      <c r="H569" s="3">
        <v>16987</v>
      </c>
      <c r="I569" s="4">
        <v>30</v>
      </c>
      <c r="J569" s="5">
        <v>5.51</v>
      </c>
      <c r="K569" s="4">
        <v>90</v>
      </c>
      <c r="L569" s="3">
        <f t="shared" si="24"/>
        <v>1698.6999999999996</v>
      </c>
      <c r="M569" s="3">
        <f t="shared" si="25"/>
        <v>86.901231175420023</v>
      </c>
      <c r="N569" s="3">
        <v>182.5</v>
      </c>
      <c r="O569" s="5">
        <f t="shared" si="26"/>
        <v>47.617112972832885</v>
      </c>
      <c r="P569" s="2" t="s">
        <v>36</v>
      </c>
    </row>
    <row r="570" spans="1:16" x14ac:dyDescent="0.2">
      <c r="A570" s="2" t="s">
        <v>921</v>
      </c>
      <c r="B570" s="2" t="s">
        <v>206</v>
      </c>
      <c r="C570" s="2" t="s">
        <v>131</v>
      </c>
      <c r="D570" s="2" t="s">
        <v>27</v>
      </c>
      <c r="E570" s="2" t="s">
        <v>107</v>
      </c>
      <c r="F570" s="2" t="s">
        <v>59</v>
      </c>
      <c r="G570" s="2" t="s">
        <v>22</v>
      </c>
      <c r="H570" s="3">
        <v>17064</v>
      </c>
      <c r="I570" s="4">
        <v>15</v>
      </c>
      <c r="J570" s="5">
        <v>4.4400000000000004</v>
      </c>
      <c r="K570" s="4">
        <v>85</v>
      </c>
      <c r="L570" s="3">
        <f t="shared" si="24"/>
        <v>2559.6000000000004</v>
      </c>
      <c r="M570" s="3">
        <f t="shared" si="25"/>
        <v>110.51343400933916</v>
      </c>
      <c r="N570" s="3">
        <v>277.60000000000002</v>
      </c>
      <c r="O570" s="5">
        <f t="shared" si="26"/>
        <v>39.810314844862809</v>
      </c>
      <c r="P570" s="2" t="s">
        <v>36</v>
      </c>
    </row>
    <row r="571" spans="1:16" x14ac:dyDescent="0.2">
      <c r="A571" s="2" t="s">
        <v>922</v>
      </c>
      <c r="B571" s="2" t="s">
        <v>499</v>
      </c>
      <c r="C571" s="2" t="s">
        <v>18</v>
      </c>
      <c r="D571" s="2" t="s">
        <v>19</v>
      </c>
      <c r="E571" s="2" t="s">
        <v>88</v>
      </c>
      <c r="F571" s="2" t="s">
        <v>50</v>
      </c>
      <c r="G571" s="2" t="s">
        <v>35</v>
      </c>
      <c r="H571" s="3">
        <v>8344</v>
      </c>
      <c r="I571" s="4">
        <v>20</v>
      </c>
      <c r="J571" s="5">
        <v>4.5599999999999996</v>
      </c>
      <c r="K571" s="4">
        <v>80</v>
      </c>
      <c r="L571" s="3">
        <f t="shared" si="24"/>
        <v>1668.7999999999997</v>
      </c>
      <c r="M571" s="3">
        <f t="shared" si="25"/>
        <v>42.447110800605024</v>
      </c>
      <c r="N571" s="3">
        <v>116.7</v>
      </c>
      <c r="O571" s="5">
        <f t="shared" si="26"/>
        <v>36.372845587493593</v>
      </c>
      <c r="P571" s="2" t="s">
        <v>36</v>
      </c>
    </row>
    <row r="572" spans="1:16" x14ac:dyDescent="0.2">
      <c r="A572" s="2" t="s">
        <v>923</v>
      </c>
      <c r="B572" s="2" t="s">
        <v>924</v>
      </c>
      <c r="C572" s="2" t="s">
        <v>142</v>
      </c>
      <c r="D572" s="2" t="s">
        <v>143</v>
      </c>
      <c r="E572" s="2" t="s">
        <v>49</v>
      </c>
      <c r="F572" s="2" t="s">
        <v>59</v>
      </c>
      <c r="G572" s="2" t="s">
        <v>98</v>
      </c>
      <c r="H572" s="3">
        <v>16513</v>
      </c>
      <c r="I572" s="4">
        <v>20</v>
      </c>
      <c r="J572" s="5">
        <v>5.55</v>
      </c>
      <c r="K572" s="4">
        <v>75</v>
      </c>
      <c r="L572" s="3">
        <f t="shared" si="24"/>
        <v>4128.25</v>
      </c>
      <c r="M572" s="3">
        <f t="shared" si="25"/>
        <v>85.543246341202135</v>
      </c>
      <c r="N572" s="3">
        <v>241.5</v>
      </c>
      <c r="O572" s="5">
        <f t="shared" si="26"/>
        <v>35.421634095735868</v>
      </c>
      <c r="P572" s="2" t="s">
        <v>36</v>
      </c>
    </row>
    <row r="573" spans="1:16" x14ac:dyDescent="0.2">
      <c r="A573" s="2" t="s">
        <v>925</v>
      </c>
      <c r="B573" s="2" t="s">
        <v>118</v>
      </c>
      <c r="C573" s="2" t="s">
        <v>18</v>
      </c>
      <c r="D573" s="2" t="s">
        <v>19</v>
      </c>
      <c r="E573" s="2" t="s">
        <v>107</v>
      </c>
      <c r="F573" s="2" t="s">
        <v>59</v>
      </c>
      <c r="G573" s="2" t="s">
        <v>22</v>
      </c>
      <c r="H573" s="3">
        <v>3127</v>
      </c>
      <c r="I573" s="4">
        <v>25</v>
      </c>
      <c r="J573" s="5">
        <v>5.77</v>
      </c>
      <c r="K573" s="4">
        <v>80</v>
      </c>
      <c r="L573" s="3">
        <f t="shared" si="24"/>
        <v>625.39999999999986</v>
      </c>
      <c r="M573" s="3">
        <f t="shared" si="25"/>
        <v>15.767974126089069</v>
      </c>
      <c r="N573" s="3">
        <v>37.5</v>
      </c>
      <c r="O573" s="5">
        <f t="shared" si="26"/>
        <v>42.047931002904178</v>
      </c>
      <c r="P573" s="2" t="s">
        <v>36</v>
      </c>
    </row>
    <row r="574" spans="1:16" x14ac:dyDescent="0.2">
      <c r="A574" s="2" t="s">
        <v>926</v>
      </c>
      <c r="B574" s="2" t="s">
        <v>379</v>
      </c>
      <c r="C574" s="2" t="s">
        <v>100</v>
      </c>
      <c r="D574" s="2" t="s">
        <v>32</v>
      </c>
      <c r="E574" s="2" t="s">
        <v>114</v>
      </c>
      <c r="F574" s="2" t="s">
        <v>21</v>
      </c>
      <c r="G574" s="2" t="s">
        <v>44</v>
      </c>
      <c r="H574" s="3">
        <v>13295</v>
      </c>
      <c r="I574" s="4">
        <v>20</v>
      </c>
      <c r="J574" s="5">
        <v>5.1100000000000003</v>
      </c>
      <c r="K574" s="4">
        <v>80</v>
      </c>
      <c r="L574" s="3">
        <f t="shared" si="24"/>
        <v>2658.9999999999995</v>
      </c>
      <c r="M574" s="3">
        <f t="shared" si="25"/>
        <v>70.84081023509502</v>
      </c>
      <c r="N574" s="3">
        <v>174.8</v>
      </c>
      <c r="O574" s="5">
        <f t="shared" si="26"/>
        <v>40.52677931069509</v>
      </c>
      <c r="P574" s="2" t="s">
        <v>36</v>
      </c>
    </row>
    <row r="575" spans="1:16" x14ac:dyDescent="0.2">
      <c r="A575" s="2" t="s">
        <v>927</v>
      </c>
      <c r="B575" s="2" t="s">
        <v>626</v>
      </c>
      <c r="C575" s="2" t="s">
        <v>175</v>
      </c>
      <c r="D575" s="2" t="s">
        <v>176</v>
      </c>
      <c r="E575" s="2" t="s">
        <v>88</v>
      </c>
      <c r="F575" s="2" t="s">
        <v>50</v>
      </c>
      <c r="G575" s="2" t="s">
        <v>35</v>
      </c>
      <c r="H575" s="3">
        <v>11775</v>
      </c>
      <c r="I575" s="4">
        <v>25</v>
      </c>
      <c r="J575" s="5">
        <v>5.01</v>
      </c>
      <c r="K575" s="4">
        <v>90</v>
      </c>
      <c r="L575" s="3">
        <f t="shared" si="24"/>
        <v>1177.4999999999998</v>
      </c>
      <c r="M575" s="3">
        <f t="shared" si="25"/>
        <v>62.013689126883698</v>
      </c>
      <c r="N575" s="3">
        <v>130.80000000000001</v>
      </c>
      <c r="O575" s="5">
        <f t="shared" si="26"/>
        <v>47.411077314131262</v>
      </c>
      <c r="P575" s="2" t="s">
        <v>29</v>
      </c>
    </row>
    <row r="576" spans="1:16" x14ac:dyDescent="0.2">
      <c r="A576" s="2" t="s">
        <v>928</v>
      </c>
      <c r="B576" s="2" t="s">
        <v>929</v>
      </c>
      <c r="C576" s="2" t="s">
        <v>18</v>
      </c>
      <c r="D576" s="2" t="s">
        <v>19</v>
      </c>
      <c r="E576" s="2" t="s">
        <v>49</v>
      </c>
      <c r="F576" s="2" t="s">
        <v>28</v>
      </c>
      <c r="G576" s="2" t="s">
        <v>98</v>
      </c>
      <c r="H576" s="3">
        <v>8868</v>
      </c>
      <c r="I576" s="4">
        <v>25</v>
      </c>
      <c r="J576" s="5">
        <v>4.37</v>
      </c>
      <c r="K576" s="4">
        <v>70</v>
      </c>
      <c r="L576" s="3">
        <f t="shared" si="24"/>
        <v>2660.4000000000005</v>
      </c>
      <c r="M576" s="3">
        <f t="shared" si="25"/>
        <v>34.047410914884615</v>
      </c>
      <c r="N576" s="3">
        <v>110.3</v>
      </c>
      <c r="O576" s="5">
        <f t="shared" si="26"/>
        <v>30.868006269161029</v>
      </c>
      <c r="P576" s="2" t="s">
        <v>36</v>
      </c>
    </row>
    <row r="577" spans="1:16" x14ac:dyDescent="0.2">
      <c r="A577" s="2" t="s">
        <v>930</v>
      </c>
      <c r="B577" s="2" t="s">
        <v>714</v>
      </c>
      <c r="C577" s="2" t="s">
        <v>146</v>
      </c>
      <c r="D577" s="2" t="s">
        <v>19</v>
      </c>
      <c r="E577" s="2" t="s">
        <v>78</v>
      </c>
      <c r="F577" s="2" t="s">
        <v>21</v>
      </c>
      <c r="G577" s="2" t="s">
        <v>35</v>
      </c>
      <c r="H577" s="3">
        <v>12955</v>
      </c>
      <c r="I577" s="4">
        <v>20</v>
      </c>
      <c r="J577" s="5">
        <v>5.49</v>
      </c>
      <c r="K577" s="4">
        <v>75</v>
      </c>
      <c r="L577" s="3">
        <f t="shared" si="24"/>
        <v>3238.75</v>
      </c>
      <c r="M577" s="3">
        <f t="shared" si="25"/>
        <v>66.781985258986609</v>
      </c>
      <c r="N577" s="3">
        <v>151.6</v>
      </c>
      <c r="O577" s="5">
        <f t="shared" si="26"/>
        <v>44.051441463711484</v>
      </c>
      <c r="P577" s="2" t="s">
        <v>29</v>
      </c>
    </row>
    <row r="578" spans="1:16" x14ac:dyDescent="0.2">
      <c r="A578" s="2" t="s">
        <v>931</v>
      </c>
      <c r="B578" s="2" t="s">
        <v>46</v>
      </c>
      <c r="C578" s="2" t="s">
        <v>18</v>
      </c>
      <c r="D578" s="2" t="s">
        <v>19</v>
      </c>
      <c r="E578" s="2" t="s">
        <v>177</v>
      </c>
      <c r="F578" s="2" t="s">
        <v>34</v>
      </c>
      <c r="G578" s="2" t="s">
        <v>44</v>
      </c>
      <c r="H578" s="3">
        <v>8606</v>
      </c>
      <c r="I578" s="4">
        <v>30</v>
      </c>
      <c r="J578" s="5">
        <v>5.33</v>
      </c>
      <c r="K578" s="4">
        <v>80</v>
      </c>
      <c r="L578" s="3">
        <f t="shared" ref="L578:L641" si="27">H578*(1-K578/100)</f>
        <v>1721.1999999999996</v>
      </c>
      <c r="M578" s="3">
        <f t="shared" ref="M578:M641" si="28">PMT(J578/100/12, I578*12, -(H578*K578/100))</f>
        <v>38.359978824126529</v>
      </c>
      <c r="N578" s="3">
        <v>122.2</v>
      </c>
      <c r="O578" s="5">
        <f t="shared" ref="O578:O641" si="29">IFERROR(M578/N578*100,0)</f>
        <v>31.391144700594541</v>
      </c>
      <c r="P578" s="2" t="s">
        <v>36</v>
      </c>
    </row>
    <row r="579" spans="1:16" x14ac:dyDescent="0.2">
      <c r="A579" s="2" t="s">
        <v>932</v>
      </c>
      <c r="B579" s="2" t="s">
        <v>566</v>
      </c>
      <c r="C579" s="2" t="s">
        <v>100</v>
      </c>
      <c r="D579" s="2" t="s">
        <v>32</v>
      </c>
      <c r="E579" s="2" t="s">
        <v>78</v>
      </c>
      <c r="F579" s="2" t="s">
        <v>28</v>
      </c>
      <c r="G579" s="2" t="s">
        <v>35</v>
      </c>
      <c r="H579" s="3">
        <v>12029</v>
      </c>
      <c r="I579" s="4">
        <v>20</v>
      </c>
      <c r="J579" s="5">
        <v>4.62</v>
      </c>
      <c r="K579" s="4">
        <v>70</v>
      </c>
      <c r="L579" s="3">
        <f t="shared" si="27"/>
        <v>3608.7000000000007</v>
      </c>
      <c r="M579" s="3">
        <f t="shared" si="28"/>
        <v>53.817945023251482</v>
      </c>
      <c r="N579" s="3">
        <v>205.8</v>
      </c>
      <c r="O579" s="5">
        <f t="shared" si="29"/>
        <v>26.150604967566316</v>
      </c>
      <c r="P579" s="2" t="s">
        <v>29</v>
      </c>
    </row>
    <row r="580" spans="1:16" x14ac:dyDescent="0.2">
      <c r="A580" s="2" t="s">
        <v>933</v>
      </c>
      <c r="B580" s="2" t="s">
        <v>714</v>
      </c>
      <c r="C580" s="2" t="s">
        <v>26</v>
      </c>
      <c r="D580" s="2" t="s">
        <v>27</v>
      </c>
      <c r="E580" s="2" t="s">
        <v>114</v>
      </c>
      <c r="F580" s="2" t="s">
        <v>34</v>
      </c>
      <c r="G580" s="2" t="s">
        <v>44</v>
      </c>
      <c r="H580" s="3">
        <v>9972</v>
      </c>
      <c r="I580" s="4">
        <v>25</v>
      </c>
      <c r="J580" s="5">
        <v>5.05</v>
      </c>
      <c r="K580" s="4">
        <v>80</v>
      </c>
      <c r="L580" s="3">
        <f t="shared" si="27"/>
        <v>1994.3999999999996</v>
      </c>
      <c r="M580" s="3">
        <f t="shared" si="28"/>
        <v>46.868947904006696</v>
      </c>
      <c r="N580" s="3">
        <v>128.80000000000001</v>
      </c>
      <c r="O580" s="5">
        <f t="shared" si="29"/>
        <v>36.388934708079731</v>
      </c>
      <c r="P580" s="2" t="s">
        <v>36</v>
      </c>
    </row>
    <row r="581" spans="1:16" x14ac:dyDescent="0.2">
      <c r="A581" s="2" t="s">
        <v>934</v>
      </c>
      <c r="B581" s="2" t="s">
        <v>935</v>
      </c>
      <c r="C581" s="2" t="s">
        <v>18</v>
      </c>
      <c r="D581" s="2" t="s">
        <v>19</v>
      </c>
      <c r="E581" s="2" t="s">
        <v>33</v>
      </c>
      <c r="F581" s="2" t="s">
        <v>59</v>
      </c>
      <c r="G581" s="2" t="s">
        <v>22</v>
      </c>
      <c r="H581" s="3">
        <v>3490</v>
      </c>
      <c r="I581" s="4">
        <v>25</v>
      </c>
      <c r="J581" s="5">
        <v>3.96</v>
      </c>
      <c r="K581" s="4">
        <v>80</v>
      </c>
      <c r="L581" s="3">
        <f t="shared" si="27"/>
        <v>697.99999999999989</v>
      </c>
      <c r="M581" s="3">
        <f t="shared" si="28"/>
        <v>14.675609942854322</v>
      </c>
      <c r="N581" s="3">
        <v>40.4</v>
      </c>
      <c r="O581" s="5">
        <f t="shared" si="29"/>
        <v>36.325767185282977</v>
      </c>
      <c r="P581" s="2" t="s">
        <v>36</v>
      </c>
    </row>
    <row r="582" spans="1:16" x14ac:dyDescent="0.2">
      <c r="A582" s="2" t="s">
        <v>936</v>
      </c>
      <c r="B582" s="2" t="s">
        <v>937</v>
      </c>
      <c r="C582" s="2" t="s">
        <v>175</v>
      </c>
      <c r="D582" s="2" t="s">
        <v>176</v>
      </c>
      <c r="E582" s="2" t="s">
        <v>114</v>
      </c>
      <c r="F582" s="2" t="s">
        <v>59</v>
      </c>
      <c r="G582" s="2" t="s">
        <v>35</v>
      </c>
      <c r="H582" s="3">
        <v>9823</v>
      </c>
      <c r="I582" s="4">
        <v>25</v>
      </c>
      <c r="J582" s="5">
        <v>3.91</v>
      </c>
      <c r="K582" s="4">
        <v>70</v>
      </c>
      <c r="L582" s="3">
        <f t="shared" si="27"/>
        <v>2946.9000000000005</v>
      </c>
      <c r="M582" s="3">
        <f t="shared" si="28"/>
        <v>35.953761779063306</v>
      </c>
      <c r="N582" s="3">
        <v>108.9</v>
      </c>
      <c r="O582" s="5">
        <f t="shared" si="29"/>
        <v>33.015391899966303</v>
      </c>
      <c r="P582" s="2" t="s">
        <v>36</v>
      </c>
    </row>
    <row r="583" spans="1:16" x14ac:dyDescent="0.2">
      <c r="A583" s="2" t="s">
        <v>938</v>
      </c>
      <c r="B583" s="2" t="s">
        <v>83</v>
      </c>
      <c r="C583" s="2" t="s">
        <v>32</v>
      </c>
      <c r="D583" s="2" t="s">
        <v>32</v>
      </c>
      <c r="E583" s="2" t="s">
        <v>33</v>
      </c>
      <c r="F583" s="2" t="s">
        <v>34</v>
      </c>
      <c r="G583" s="2" t="s">
        <v>98</v>
      </c>
      <c r="H583" s="3">
        <v>2423</v>
      </c>
      <c r="I583" s="4">
        <v>30</v>
      </c>
      <c r="J583" s="5">
        <v>4.7</v>
      </c>
      <c r="K583" s="4">
        <v>80</v>
      </c>
      <c r="L583" s="3">
        <f t="shared" si="27"/>
        <v>484.59999999999991</v>
      </c>
      <c r="M583" s="3">
        <f t="shared" si="28"/>
        <v>10.053275298171664</v>
      </c>
      <c r="N583" s="3">
        <v>35.6</v>
      </c>
      <c r="O583" s="5">
        <f t="shared" si="29"/>
        <v>28.239537354414786</v>
      </c>
      <c r="P583" s="2" t="s">
        <v>36</v>
      </c>
    </row>
    <row r="584" spans="1:16" x14ac:dyDescent="0.2">
      <c r="A584" s="2" t="s">
        <v>939</v>
      </c>
      <c r="B584" s="2" t="s">
        <v>189</v>
      </c>
      <c r="C584" s="2" t="s">
        <v>153</v>
      </c>
      <c r="D584" s="2" t="s">
        <v>19</v>
      </c>
      <c r="E584" s="2" t="s">
        <v>81</v>
      </c>
      <c r="F584" s="2" t="s">
        <v>59</v>
      </c>
      <c r="G584" s="2" t="s">
        <v>44</v>
      </c>
      <c r="H584" s="3">
        <v>17161</v>
      </c>
      <c r="I584" s="4">
        <v>25</v>
      </c>
      <c r="J584" s="5">
        <v>5.63</v>
      </c>
      <c r="K584" s="4">
        <v>75</v>
      </c>
      <c r="L584" s="3">
        <f t="shared" si="27"/>
        <v>4290.25</v>
      </c>
      <c r="M584" s="3">
        <f t="shared" si="28"/>
        <v>80.039997231894887</v>
      </c>
      <c r="N584" s="3">
        <v>288.2</v>
      </c>
      <c r="O584" s="5">
        <f t="shared" si="29"/>
        <v>27.772379330983654</v>
      </c>
      <c r="P584" s="2" t="s">
        <v>36</v>
      </c>
    </row>
    <row r="585" spans="1:16" x14ac:dyDescent="0.2">
      <c r="A585" s="2" t="s">
        <v>940</v>
      </c>
      <c r="B585" s="2" t="s">
        <v>174</v>
      </c>
      <c r="C585" s="2" t="s">
        <v>53</v>
      </c>
      <c r="D585" s="2" t="s">
        <v>19</v>
      </c>
      <c r="E585" s="2" t="s">
        <v>58</v>
      </c>
      <c r="F585" s="2" t="s">
        <v>28</v>
      </c>
      <c r="G585" s="2" t="s">
        <v>44</v>
      </c>
      <c r="H585" s="3">
        <v>12717</v>
      </c>
      <c r="I585" s="4">
        <v>30</v>
      </c>
      <c r="J585" s="5">
        <v>5.07</v>
      </c>
      <c r="K585" s="4">
        <v>80</v>
      </c>
      <c r="L585" s="3">
        <f t="shared" si="27"/>
        <v>2543.3999999999996</v>
      </c>
      <c r="M585" s="3">
        <f t="shared" si="28"/>
        <v>55.050148685033477</v>
      </c>
      <c r="N585" s="3">
        <v>196.4</v>
      </c>
      <c r="O585" s="5">
        <f t="shared" si="29"/>
        <v>28.029607273438632</v>
      </c>
      <c r="P585" s="2" t="s">
        <v>29</v>
      </c>
    </row>
    <row r="586" spans="1:16" x14ac:dyDescent="0.2">
      <c r="A586" s="2" t="s">
        <v>941</v>
      </c>
      <c r="B586" s="2" t="s">
        <v>330</v>
      </c>
      <c r="C586" s="2" t="s">
        <v>18</v>
      </c>
      <c r="D586" s="2" t="s">
        <v>19</v>
      </c>
      <c r="E586" s="2" t="s">
        <v>88</v>
      </c>
      <c r="F586" s="2" t="s">
        <v>50</v>
      </c>
      <c r="G586" s="2" t="s">
        <v>44</v>
      </c>
      <c r="H586" s="3">
        <v>13936</v>
      </c>
      <c r="I586" s="4">
        <v>20</v>
      </c>
      <c r="J586" s="5">
        <v>4.32</v>
      </c>
      <c r="K586" s="4">
        <v>75</v>
      </c>
      <c r="L586" s="3">
        <f t="shared" si="27"/>
        <v>3484</v>
      </c>
      <c r="M586" s="3">
        <f t="shared" si="28"/>
        <v>65.113294513464311</v>
      </c>
      <c r="N586" s="3">
        <v>175.9</v>
      </c>
      <c r="O586" s="5">
        <f t="shared" si="29"/>
        <v>37.017222577296366</v>
      </c>
      <c r="P586" s="2" t="s">
        <v>36</v>
      </c>
    </row>
    <row r="587" spans="1:16" x14ac:dyDescent="0.2">
      <c r="A587" s="2" t="s">
        <v>942</v>
      </c>
      <c r="B587" s="2" t="s">
        <v>943</v>
      </c>
      <c r="C587" s="2" t="s">
        <v>32</v>
      </c>
      <c r="D587" s="2" t="s">
        <v>32</v>
      </c>
      <c r="E587" s="2" t="s">
        <v>88</v>
      </c>
      <c r="F587" s="2" t="s">
        <v>34</v>
      </c>
      <c r="G587" s="2" t="s">
        <v>35</v>
      </c>
      <c r="H587" s="3">
        <v>12478</v>
      </c>
      <c r="I587" s="4">
        <v>20</v>
      </c>
      <c r="J587" s="5">
        <v>5.6</v>
      </c>
      <c r="K587" s="4">
        <v>80</v>
      </c>
      <c r="L587" s="3">
        <f t="shared" si="27"/>
        <v>2495.5999999999995</v>
      </c>
      <c r="M587" s="3">
        <f t="shared" si="28"/>
        <v>69.23268717225568</v>
      </c>
      <c r="N587" s="3">
        <v>180.5</v>
      </c>
      <c r="O587" s="5">
        <f t="shared" si="29"/>
        <v>38.356059375210904</v>
      </c>
      <c r="P587" s="2" t="s">
        <v>23</v>
      </c>
    </row>
    <row r="588" spans="1:16" x14ac:dyDescent="0.2">
      <c r="A588" s="2" t="s">
        <v>944</v>
      </c>
      <c r="B588" s="2" t="s">
        <v>250</v>
      </c>
      <c r="C588" s="2" t="s">
        <v>53</v>
      </c>
      <c r="D588" s="2" t="s">
        <v>19</v>
      </c>
      <c r="E588" s="2" t="s">
        <v>49</v>
      </c>
      <c r="F588" s="2" t="s">
        <v>59</v>
      </c>
      <c r="G588" s="2" t="s">
        <v>98</v>
      </c>
      <c r="H588" s="3">
        <v>1810</v>
      </c>
      <c r="I588" s="4">
        <v>20</v>
      </c>
      <c r="J588" s="5">
        <v>4.22</v>
      </c>
      <c r="K588" s="4">
        <v>85</v>
      </c>
      <c r="L588" s="3">
        <f t="shared" si="27"/>
        <v>271.50000000000006</v>
      </c>
      <c r="M588" s="3">
        <f t="shared" si="28"/>
        <v>9.5023214982873832</v>
      </c>
      <c r="N588" s="3">
        <v>23.5</v>
      </c>
      <c r="O588" s="5">
        <f t="shared" si="29"/>
        <v>40.435410631010143</v>
      </c>
      <c r="P588" s="2" t="s">
        <v>36</v>
      </c>
    </row>
    <row r="589" spans="1:16" x14ac:dyDescent="0.2">
      <c r="A589" s="2" t="s">
        <v>945</v>
      </c>
      <c r="B589" s="2" t="s">
        <v>235</v>
      </c>
      <c r="C589" s="2" t="s">
        <v>67</v>
      </c>
      <c r="D589" s="2" t="s">
        <v>67</v>
      </c>
      <c r="E589" s="2" t="s">
        <v>81</v>
      </c>
      <c r="F589" s="2" t="s">
        <v>34</v>
      </c>
      <c r="G589" s="2" t="s">
        <v>22</v>
      </c>
      <c r="H589" s="3">
        <v>10738</v>
      </c>
      <c r="I589" s="4">
        <v>15</v>
      </c>
      <c r="J589" s="5">
        <v>4.54</v>
      </c>
      <c r="K589" s="4">
        <v>80</v>
      </c>
      <c r="L589" s="3">
        <f t="shared" si="27"/>
        <v>2147.5999999999995</v>
      </c>
      <c r="M589" s="3">
        <f t="shared" si="28"/>
        <v>65.891732897280477</v>
      </c>
      <c r="N589" s="3">
        <v>179.7</v>
      </c>
      <c r="O589" s="5">
        <f t="shared" si="29"/>
        <v>36.667630994591256</v>
      </c>
      <c r="P589" s="2" t="s">
        <v>23</v>
      </c>
    </row>
    <row r="590" spans="1:16" x14ac:dyDescent="0.2">
      <c r="A590" s="2" t="s">
        <v>946</v>
      </c>
      <c r="B590" s="2" t="s">
        <v>947</v>
      </c>
      <c r="C590" s="2" t="s">
        <v>72</v>
      </c>
      <c r="D590" s="2" t="s">
        <v>73</v>
      </c>
      <c r="E590" s="2" t="s">
        <v>58</v>
      </c>
      <c r="F590" s="2" t="s">
        <v>59</v>
      </c>
      <c r="G590" s="2" t="s">
        <v>44</v>
      </c>
      <c r="H590" s="3">
        <v>7193</v>
      </c>
      <c r="I590" s="4">
        <v>30</v>
      </c>
      <c r="J590" s="5">
        <v>4.68</v>
      </c>
      <c r="K590" s="4">
        <v>80</v>
      </c>
      <c r="L590" s="3">
        <f t="shared" si="27"/>
        <v>1438.5999999999997</v>
      </c>
      <c r="M590" s="3">
        <f t="shared" si="28"/>
        <v>29.775359276306695</v>
      </c>
      <c r="N590" s="3">
        <v>85</v>
      </c>
      <c r="O590" s="5">
        <f t="shared" si="29"/>
        <v>35.029834442713756</v>
      </c>
      <c r="P590" s="2" t="s">
        <v>36</v>
      </c>
    </row>
    <row r="591" spans="1:16" x14ac:dyDescent="0.2">
      <c r="A591" s="2" t="s">
        <v>948</v>
      </c>
      <c r="B591" s="2" t="s">
        <v>949</v>
      </c>
      <c r="C591" s="2" t="s">
        <v>53</v>
      </c>
      <c r="D591" s="2" t="s">
        <v>19</v>
      </c>
      <c r="E591" s="2" t="s">
        <v>78</v>
      </c>
      <c r="F591" s="2" t="s">
        <v>34</v>
      </c>
      <c r="G591" s="2" t="s">
        <v>22</v>
      </c>
      <c r="H591" s="3">
        <v>4421</v>
      </c>
      <c r="I591" s="4">
        <v>20</v>
      </c>
      <c r="J591" s="5">
        <v>4.26</v>
      </c>
      <c r="K591" s="4">
        <v>75</v>
      </c>
      <c r="L591" s="3">
        <f t="shared" si="27"/>
        <v>1105.25</v>
      </c>
      <c r="M591" s="3">
        <f t="shared" si="28"/>
        <v>20.549957061756558</v>
      </c>
      <c r="N591" s="3">
        <v>47.5</v>
      </c>
      <c r="O591" s="5">
        <f t="shared" si="29"/>
        <v>43.263067498434857</v>
      </c>
      <c r="P591" s="2" t="s">
        <v>36</v>
      </c>
    </row>
    <row r="592" spans="1:16" x14ac:dyDescent="0.2">
      <c r="A592" s="2" t="s">
        <v>950</v>
      </c>
      <c r="B592" s="2" t="s">
        <v>25</v>
      </c>
      <c r="C592" s="2" t="s">
        <v>32</v>
      </c>
      <c r="D592" s="2" t="s">
        <v>32</v>
      </c>
      <c r="E592" s="2" t="s">
        <v>33</v>
      </c>
      <c r="F592" s="2" t="s">
        <v>28</v>
      </c>
      <c r="G592" s="2" t="s">
        <v>98</v>
      </c>
      <c r="H592" s="3">
        <v>15163</v>
      </c>
      <c r="I592" s="4">
        <v>30</v>
      </c>
      <c r="J592" s="5">
        <v>5.28</v>
      </c>
      <c r="K592" s="4">
        <v>80</v>
      </c>
      <c r="L592" s="3">
        <f t="shared" si="27"/>
        <v>3032.5999999999995</v>
      </c>
      <c r="M592" s="3">
        <f t="shared" si="28"/>
        <v>67.210094442696516</v>
      </c>
      <c r="N592" s="3">
        <v>230</v>
      </c>
      <c r="O592" s="5">
        <f t="shared" si="29"/>
        <v>29.22178019247675</v>
      </c>
      <c r="P592" s="2" t="s">
        <v>36</v>
      </c>
    </row>
    <row r="593" spans="1:16" x14ac:dyDescent="0.2">
      <c r="A593" s="2" t="s">
        <v>951</v>
      </c>
      <c r="B593" s="2" t="s">
        <v>257</v>
      </c>
      <c r="C593" s="2" t="s">
        <v>56</v>
      </c>
      <c r="D593" s="2" t="s">
        <v>57</v>
      </c>
      <c r="E593" s="2" t="s">
        <v>156</v>
      </c>
      <c r="F593" s="2" t="s">
        <v>34</v>
      </c>
      <c r="G593" s="2" t="s">
        <v>44</v>
      </c>
      <c r="H593" s="3">
        <v>8586</v>
      </c>
      <c r="I593" s="4">
        <v>30</v>
      </c>
      <c r="J593" s="5">
        <v>4</v>
      </c>
      <c r="K593" s="4">
        <v>85</v>
      </c>
      <c r="L593" s="3">
        <f t="shared" si="27"/>
        <v>1287.9000000000001</v>
      </c>
      <c r="M593" s="3">
        <f t="shared" si="28"/>
        <v>34.842245678364705</v>
      </c>
      <c r="N593" s="3">
        <v>132</v>
      </c>
      <c r="O593" s="5">
        <f t="shared" si="29"/>
        <v>26.395640665427806</v>
      </c>
      <c r="P593" s="2" t="s">
        <v>36</v>
      </c>
    </row>
    <row r="594" spans="1:16" x14ac:dyDescent="0.2">
      <c r="A594" s="2" t="s">
        <v>952</v>
      </c>
      <c r="B594" s="2" t="s">
        <v>953</v>
      </c>
      <c r="C594" s="2" t="s">
        <v>72</v>
      </c>
      <c r="D594" s="2" t="s">
        <v>73</v>
      </c>
      <c r="E594" s="2" t="s">
        <v>88</v>
      </c>
      <c r="F594" s="2" t="s">
        <v>21</v>
      </c>
      <c r="G594" s="2" t="s">
        <v>44</v>
      </c>
      <c r="H594" s="3">
        <v>11986</v>
      </c>
      <c r="I594" s="4">
        <v>25</v>
      </c>
      <c r="J594" s="5">
        <v>4.08</v>
      </c>
      <c r="K594" s="4">
        <v>80</v>
      </c>
      <c r="L594" s="3">
        <f t="shared" si="27"/>
        <v>2397.1999999999994</v>
      </c>
      <c r="M594" s="3">
        <f t="shared" si="28"/>
        <v>51.037737903258794</v>
      </c>
      <c r="N594" s="3">
        <v>183.6</v>
      </c>
      <c r="O594" s="5">
        <f t="shared" si="29"/>
        <v>27.798332191317428</v>
      </c>
      <c r="P594" s="2" t="s">
        <v>36</v>
      </c>
    </row>
    <row r="595" spans="1:16" x14ac:dyDescent="0.2">
      <c r="A595" s="2" t="s">
        <v>954</v>
      </c>
      <c r="B595" s="2" t="s">
        <v>955</v>
      </c>
      <c r="C595" s="2" t="s">
        <v>67</v>
      </c>
      <c r="D595" s="2" t="s">
        <v>67</v>
      </c>
      <c r="E595" s="2" t="s">
        <v>74</v>
      </c>
      <c r="F595" s="2" t="s">
        <v>50</v>
      </c>
      <c r="G595" s="2" t="s">
        <v>44</v>
      </c>
      <c r="H595" s="3">
        <v>4917</v>
      </c>
      <c r="I595" s="4">
        <v>25</v>
      </c>
      <c r="J595" s="5">
        <v>4.83</v>
      </c>
      <c r="K595" s="4">
        <v>85</v>
      </c>
      <c r="L595" s="3">
        <f t="shared" si="27"/>
        <v>737.55000000000007</v>
      </c>
      <c r="M595" s="3">
        <f t="shared" si="28"/>
        <v>24.020482733254497</v>
      </c>
      <c r="N595" s="3">
        <v>58.8</v>
      </c>
      <c r="O595" s="5">
        <f t="shared" si="29"/>
        <v>40.851161110977039</v>
      </c>
      <c r="P595" s="2" t="s">
        <v>69</v>
      </c>
    </row>
    <row r="596" spans="1:16" x14ac:dyDescent="0.2">
      <c r="A596" s="2" t="s">
        <v>956</v>
      </c>
      <c r="B596" s="2" t="s">
        <v>200</v>
      </c>
      <c r="C596" s="2" t="s">
        <v>131</v>
      </c>
      <c r="D596" s="2" t="s">
        <v>27</v>
      </c>
      <c r="E596" s="2" t="s">
        <v>81</v>
      </c>
      <c r="F596" s="2" t="s">
        <v>21</v>
      </c>
      <c r="G596" s="2" t="s">
        <v>22</v>
      </c>
      <c r="H596" s="3">
        <v>5528</v>
      </c>
      <c r="I596" s="4">
        <v>15</v>
      </c>
      <c r="J596" s="5">
        <v>5.51</v>
      </c>
      <c r="K596" s="4">
        <v>85</v>
      </c>
      <c r="L596" s="3">
        <f t="shared" si="27"/>
        <v>829.20000000000016</v>
      </c>
      <c r="M596" s="3">
        <f t="shared" si="28"/>
        <v>38.418056212911232</v>
      </c>
      <c r="N596" s="3">
        <v>66.2</v>
      </c>
      <c r="O596" s="5">
        <f t="shared" si="29"/>
        <v>58.033317542161974</v>
      </c>
      <c r="P596" s="2" t="s">
        <v>36</v>
      </c>
    </row>
    <row r="597" spans="1:16" x14ac:dyDescent="0.2">
      <c r="A597" s="2" t="s">
        <v>957</v>
      </c>
      <c r="B597" s="2" t="s">
        <v>924</v>
      </c>
      <c r="C597" s="2" t="s">
        <v>146</v>
      </c>
      <c r="D597" s="2" t="s">
        <v>19</v>
      </c>
      <c r="E597" s="2" t="s">
        <v>81</v>
      </c>
      <c r="F597" s="2" t="s">
        <v>28</v>
      </c>
      <c r="G597" s="2" t="s">
        <v>35</v>
      </c>
      <c r="H597" s="3">
        <v>3859</v>
      </c>
      <c r="I597" s="4">
        <v>15</v>
      </c>
      <c r="J597" s="5">
        <v>4.47</v>
      </c>
      <c r="K597" s="4">
        <v>80</v>
      </c>
      <c r="L597" s="3">
        <f t="shared" si="27"/>
        <v>771.79999999999984</v>
      </c>
      <c r="M597" s="3">
        <f t="shared" si="28"/>
        <v>23.569566649361544</v>
      </c>
      <c r="N597" s="3">
        <v>46.6</v>
      </c>
      <c r="O597" s="5">
        <f t="shared" si="29"/>
        <v>50.578469204638509</v>
      </c>
      <c r="P597" s="2" t="s">
        <v>36</v>
      </c>
    </row>
    <row r="598" spans="1:16" x14ac:dyDescent="0.2">
      <c r="A598" s="2" t="s">
        <v>958</v>
      </c>
      <c r="B598" s="2" t="s">
        <v>568</v>
      </c>
      <c r="C598" s="2" t="s">
        <v>62</v>
      </c>
      <c r="D598" s="2" t="s">
        <v>63</v>
      </c>
      <c r="E598" s="2" t="s">
        <v>20</v>
      </c>
      <c r="F598" s="2" t="s">
        <v>34</v>
      </c>
      <c r="G598" s="2" t="s">
        <v>44</v>
      </c>
      <c r="H598" s="3">
        <v>13672</v>
      </c>
      <c r="I598" s="4">
        <v>20</v>
      </c>
      <c r="J598" s="5">
        <v>5.46</v>
      </c>
      <c r="K598" s="4">
        <v>85</v>
      </c>
      <c r="L598" s="3">
        <f t="shared" si="27"/>
        <v>2050.8000000000002</v>
      </c>
      <c r="M598" s="3">
        <f t="shared" si="28"/>
        <v>79.678442394929547</v>
      </c>
      <c r="N598" s="3">
        <v>150.5</v>
      </c>
      <c r="O598" s="5">
        <f t="shared" si="29"/>
        <v>52.942486641149202</v>
      </c>
      <c r="P598" s="2" t="s">
        <v>36</v>
      </c>
    </row>
    <row r="599" spans="1:16" x14ac:dyDescent="0.2">
      <c r="A599" s="2" t="s">
        <v>959</v>
      </c>
      <c r="B599" s="2" t="s">
        <v>264</v>
      </c>
      <c r="C599" s="2" t="s">
        <v>67</v>
      </c>
      <c r="D599" s="2" t="s">
        <v>67</v>
      </c>
      <c r="E599" s="2" t="s">
        <v>97</v>
      </c>
      <c r="F599" s="2" t="s">
        <v>21</v>
      </c>
      <c r="G599" s="2" t="s">
        <v>44</v>
      </c>
      <c r="H599" s="3">
        <v>14927</v>
      </c>
      <c r="I599" s="4">
        <v>20</v>
      </c>
      <c r="J599" s="5">
        <v>5.7</v>
      </c>
      <c r="K599" s="4">
        <v>80</v>
      </c>
      <c r="L599" s="3">
        <f t="shared" si="27"/>
        <v>2985.3999999999992</v>
      </c>
      <c r="M599" s="3">
        <f t="shared" si="28"/>
        <v>83.499500983824376</v>
      </c>
      <c r="N599" s="3">
        <v>186.4</v>
      </c>
      <c r="O599" s="5">
        <f t="shared" si="29"/>
        <v>44.79586962651522</v>
      </c>
      <c r="P599" s="2" t="s">
        <v>36</v>
      </c>
    </row>
    <row r="600" spans="1:16" x14ac:dyDescent="0.2">
      <c r="A600" s="2" t="s">
        <v>960</v>
      </c>
      <c r="B600" s="2" t="s">
        <v>684</v>
      </c>
      <c r="C600" s="2" t="s">
        <v>146</v>
      </c>
      <c r="D600" s="2" t="s">
        <v>19</v>
      </c>
      <c r="E600" s="2" t="s">
        <v>41</v>
      </c>
      <c r="F600" s="2" t="s">
        <v>21</v>
      </c>
      <c r="G600" s="2" t="s">
        <v>22</v>
      </c>
      <c r="H600" s="3">
        <v>14984</v>
      </c>
      <c r="I600" s="4">
        <v>30</v>
      </c>
      <c r="J600" s="5">
        <v>4.3099999999999996</v>
      </c>
      <c r="K600" s="4">
        <v>80</v>
      </c>
      <c r="L600" s="3">
        <f t="shared" si="27"/>
        <v>2996.7999999999993</v>
      </c>
      <c r="M600" s="3">
        <f t="shared" si="28"/>
        <v>59.391638361432946</v>
      </c>
      <c r="N600" s="3">
        <v>169.1</v>
      </c>
      <c r="O600" s="5">
        <f t="shared" si="29"/>
        <v>35.122198912733857</v>
      </c>
      <c r="P600" s="2" t="s">
        <v>36</v>
      </c>
    </row>
    <row r="601" spans="1:16" x14ac:dyDescent="0.2">
      <c r="A601" s="2" t="s">
        <v>961</v>
      </c>
      <c r="B601" s="2" t="s">
        <v>200</v>
      </c>
      <c r="C601" s="2" t="s">
        <v>84</v>
      </c>
      <c r="D601" s="2" t="s">
        <v>85</v>
      </c>
      <c r="E601" s="2" t="s">
        <v>58</v>
      </c>
      <c r="F601" s="2" t="s">
        <v>28</v>
      </c>
      <c r="G601" s="2" t="s">
        <v>98</v>
      </c>
      <c r="H601" s="3">
        <v>6616</v>
      </c>
      <c r="I601" s="4">
        <v>30</v>
      </c>
      <c r="J601" s="5">
        <v>4.51</v>
      </c>
      <c r="K601" s="4">
        <v>90</v>
      </c>
      <c r="L601" s="3">
        <f t="shared" si="27"/>
        <v>661.59999999999991</v>
      </c>
      <c r="M601" s="3">
        <f t="shared" si="28"/>
        <v>30.205460107582493</v>
      </c>
      <c r="N601" s="3">
        <v>72.5</v>
      </c>
      <c r="O601" s="5">
        <f t="shared" si="29"/>
        <v>41.662703596665509</v>
      </c>
      <c r="P601" s="2" t="s">
        <v>29</v>
      </c>
    </row>
    <row r="602" spans="1:16" x14ac:dyDescent="0.2">
      <c r="A602" s="2" t="s">
        <v>962</v>
      </c>
      <c r="B602" s="2" t="s">
        <v>392</v>
      </c>
      <c r="C602" s="2" t="s">
        <v>67</v>
      </c>
      <c r="D602" s="2" t="s">
        <v>67</v>
      </c>
      <c r="E602" s="2" t="s">
        <v>177</v>
      </c>
      <c r="F602" s="2" t="s">
        <v>50</v>
      </c>
      <c r="G602" s="2" t="s">
        <v>98</v>
      </c>
      <c r="H602" s="3">
        <v>2559</v>
      </c>
      <c r="I602" s="4">
        <v>20</v>
      </c>
      <c r="J602" s="5">
        <v>4.59</v>
      </c>
      <c r="K602" s="4">
        <v>90</v>
      </c>
      <c r="L602" s="3">
        <f t="shared" si="27"/>
        <v>255.89999999999995</v>
      </c>
      <c r="M602" s="3">
        <f t="shared" si="28"/>
        <v>14.682673062646554</v>
      </c>
      <c r="N602" s="3">
        <v>38.4</v>
      </c>
      <c r="O602" s="5">
        <f t="shared" si="29"/>
        <v>38.236127767308737</v>
      </c>
      <c r="P602" s="2" t="s">
        <v>36</v>
      </c>
    </row>
    <row r="603" spans="1:16" x14ac:dyDescent="0.2">
      <c r="A603" s="2" t="s">
        <v>963</v>
      </c>
      <c r="B603" s="2" t="s">
        <v>583</v>
      </c>
      <c r="C603" s="2" t="s">
        <v>77</v>
      </c>
      <c r="D603" s="2" t="s">
        <v>19</v>
      </c>
      <c r="E603" s="2" t="s">
        <v>64</v>
      </c>
      <c r="F603" s="2" t="s">
        <v>28</v>
      </c>
      <c r="G603" s="2" t="s">
        <v>44</v>
      </c>
      <c r="H603" s="3">
        <v>13454</v>
      </c>
      <c r="I603" s="4">
        <v>25</v>
      </c>
      <c r="J603" s="5">
        <v>5.52</v>
      </c>
      <c r="K603" s="4">
        <v>85</v>
      </c>
      <c r="L603" s="3">
        <f t="shared" si="27"/>
        <v>2018.1000000000004</v>
      </c>
      <c r="M603" s="3">
        <f t="shared" si="28"/>
        <v>70.363086028280321</v>
      </c>
      <c r="N603" s="3">
        <v>167.6</v>
      </c>
      <c r="O603" s="5">
        <f t="shared" si="29"/>
        <v>41.98274822689757</v>
      </c>
      <c r="P603" s="2" t="s">
        <v>36</v>
      </c>
    </row>
    <row r="604" spans="1:16" x14ac:dyDescent="0.2">
      <c r="A604" s="2" t="s">
        <v>964</v>
      </c>
      <c r="B604" s="2" t="s">
        <v>706</v>
      </c>
      <c r="C604" s="2" t="s">
        <v>32</v>
      </c>
      <c r="D604" s="2" t="s">
        <v>32</v>
      </c>
      <c r="E604" s="2" t="s">
        <v>81</v>
      </c>
      <c r="F604" s="2" t="s">
        <v>21</v>
      </c>
      <c r="G604" s="2" t="s">
        <v>44</v>
      </c>
      <c r="H604" s="3">
        <v>15639</v>
      </c>
      <c r="I604" s="4">
        <v>15</v>
      </c>
      <c r="J604" s="5">
        <v>5.21</v>
      </c>
      <c r="K604" s="4">
        <v>85</v>
      </c>
      <c r="L604" s="3">
        <f t="shared" si="27"/>
        <v>2345.8500000000004</v>
      </c>
      <c r="M604" s="3">
        <f t="shared" si="28"/>
        <v>106.58129525763826</v>
      </c>
      <c r="N604" s="3">
        <v>255.1</v>
      </c>
      <c r="O604" s="5">
        <f t="shared" si="29"/>
        <v>41.780201982610059</v>
      </c>
      <c r="P604" s="2" t="s">
        <v>36</v>
      </c>
    </row>
    <row r="605" spans="1:16" x14ac:dyDescent="0.2">
      <c r="A605" s="2" t="s">
        <v>965</v>
      </c>
      <c r="B605" s="2" t="s">
        <v>600</v>
      </c>
      <c r="C605" s="2" t="s">
        <v>47</v>
      </c>
      <c r="D605" s="2" t="s">
        <v>48</v>
      </c>
      <c r="E605" s="2" t="s">
        <v>97</v>
      </c>
      <c r="F605" s="2" t="s">
        <v>50</v>
      </c>
      <c r="G605" s="2" t="s">
        <v>35</v>
      </c>
      <c r="H605" s="3">
        <v>3703</v>
      </c>
      <c r="I605" s="4">
        <v>30</v>
      </c>
      <c r="J605" s="5">
        <v>4.78</v>
      </c>
      <c r="K605" s="4">
        <v>80</v>
      </c>
      <c r="L605" s="3">
        <f t="shared" si="27"/>
        <v>740.5999999999998</v>
      </c>
      <c r="M605" s="3">
        <f t="shared" si="28"/>
        <v>15.506894036106695</v>
      </c>
      <c r="N605" s="3">
        <v>41.5</v>
      </c>
      <c r="O605" s="5">
        <f t="shared" si="29"/>
        <v>37.3660097255583</v>
      </c>
      <c r="P605" s="2" t="s">
        <v>36</v>
      </c>
    </row>
    <row r="606" spans="1:16" x14ac:dyDescent="0.2">
      <c r="A606" s="2" t="s">
        <v>966</v>
      </c>
      <c r="B606" s="2" t="s">
        <v>967</v>
      </c>
      <c r="C606" s="2" t="s">
        <v>142</v>
      </c>
      <c r="D606" s="2" t="s">
        <v>143</v>
      </c>
      <c r="E606" s="2" t="s">
        <v>97</v>
      </c>
      <c r="F606" s="2" t="s">
        <v>21</v>
      </c>
      <c r="G606" s="2" t="s">
        <v>44</v>
      </c>
      <c r="H606" s="3">
        <v>11340</v>
      </c>
      <c r="I606" s="4">
        <v>30</v>
      </c>
      <c r="J606" s="5">
        <v>5.27</v>
      </c>
      <c r="K606" s="4">
        <v>85</v>
      </c>
      <c r="L606" s="3">
        <f t="shared" si="27"/>
        <v>1701.0000000000002</v>
      </c>
      <c r="M606" s="3">
        <f t="shared" si="28"/>
        <v>53.346381259542625</v>
      </c>
      <c r="N606" s="3">
        <v>152.4</v>
      </c>
      <c r="O606" s="5">
        <f t="shared" si="29"/>
        <v>35.004187178177574</v>
      </c>
      <c r="P606" s="2" t="s">
        <v>36</v>
      </c>
    </row>
    <row r="607" spans="1:16" x14ac:dyDescent="0.2">
      <c r="A607" s="2" t="s">
        <v>968</v>
      </c>
      <c r="B607" s="2" t="s">
        <v>826</v>
      </c>
      <c r="C607" s="2" t="s">
        <v>84</v>
      </c>
      <c r="D607" s="2" t="s">
        <v>85</v>
      </c>
      <c r="E607" s="2" t="s">
        <v>64</v>
      </c>
      <c r="F607" s="2" t="s">
        <v>21</v>
      </c>
      <c r="G607" s="2" t="s">
        <v>22</v>
      </c>
      <c r="H607" s="3">
        <v>15863</v>
      </c>
      <c r="I607" s="4">
        <v>20</v>
      </c>
      <c r="J607" s="5">
        <v>5.77</v>
      </c>
      <c r="K607" s="4">
        <v>80</v>
      </c>
      <c r="L607" s="3">
        <f t="shared" si="27"/>
        <v>3172.5999999999995</v>
      </c>
      <c r="M607" s="3">
        <f t="shared" si="28"/>
        <v>89.242162505835879</v>
      </c>
      <c r="N607" s="3">
        <v>228.4</v>
      </c>
      <c r="O607" s="5">
        <f t="shared" si="29"/>
        <v>39.072750659297668</v>
      </c>
      <c r="P607" s="2" t="s">
        <v>36</v>
      </c>
    </row>
    <row r="608" spans="1:16" x14ac:dyDescent="0.2">
      <c r="A608" s="2" t="s">
        <v>969</v>
      </c>
      <c r="B608" s="2" t="s">
        <v>281</v>
      </c>
      <c r="C608" s="2" t="s">
        <v>91</v>
      </c>
      <c r="D608" s="2" t="s">
        <v>92</v>
      </c>
      <c r="E608" s="2" t="s">
        <v>114</v>
      </c>
      <c r="F608" s="2" t="s">
        <v>59</v>
      </c>
      <c r="G608" s="2" t="s">
        <v>98</v>
      </c>
      <c r="H608" s="3">
        <v>17519</v>
      </c>
      <c r="I608" s="4">
        <v>20</v>
      </c>
      <c r="J608" s="5">
        <v>4.28</v>
      </c>
      <c r="K608" s="4">
        <v>75</v>
      </c>
      <c r="L608" s="3">
        <f t="shared" si="27"/>
        <v>4379.75</v>
      </c>
      <c r="M608" s="3">
        <f t="shared" si="28"/>
        <v>81.57316745341646</v>
      </c>
      <c r="N608" s="3">
        <v>317.39999999999998</v>
      </c>
      <c r="O608" s="5">
        <f t="shared" si="29"/>
        <v>25.700430829683828</v>
      </c>
      <c r="P608" s="2" t="s">
        <v>23</v>
      </c>
    </row>
    <row r="609" spans="1:16" x14ac:dyDescent="0.2">
      <c r="A609" s="2" t="s">
        <v>970</v>
      </c>
      <c r="B609" s="2" t="s">
        <v>639</v>
      </c>
      <c r="C609" s="2" t="s">
        <v>131</v>
      </c>
      <c r="D609" s="2" t="s">
        <v>27</v>
      </c>
      <c r="E609" s="2" t="s">
        <v>49</v>
      </c>
      <c r="F609" s="2" t="s">
        <v>28</v>
      </c>
      <c r="G609" s="2" t="s">
        <v>98</v>
      </c>
      <c r="H609" s="3">
        <v>13738</v>
      </c>
      <c r="I609" s="4">
        <v>30</v>
      </c>
      <c r="J609" s="5">
        <v>5.04</v>
      </c>
      <c r="K609" s="4">
        <v>70</v>
      </c>
      <c r="L609" s="3">
        <f t="shared" si="27"/>
        <v>4121.4000000000005</v>
      </c>
      <c r="M609" s="3">
        <f t="shared" si="28"/>
        <v>51.859333963842303</v>
      </c>
      <c r="N609" s="3">
        <v>169.6</v>
      </c>
      <c r="O609" s="5">
        <f t="shared" si="29"/>
        <v>30.577437478680601</v>
      </c>
      <c r="P609" s="2" t="s">
        <v>36</v>
      </c>
    </row>
    <row r="610" spans="1:16" x14ac:dyDescent="0.2">
      <c r="A610" s="2" t="s">
        <v>971</v>
      </c>
      <c r="B610" s="2" t="s">
        <v>478</v>
      </c>
      <c r="C610" s="2" t="s">
        <v>100</v>
      </c>
      <c r="D610" s="2" t="s">
        <v>32</v>
      </c>
      <c r="E610" s="2" t="s">
        <v>177</v>
      </c>
      <c r="F610" s="2" t="s">
        <v>50</v>
      </c>
      <c r="G610" s="2" t="s">
        <v>98</v>
      </c>
      <c r="H610" s="3">
        <v>13175</v>
      </c>
      <c r="I610" s="4">
        <v>15</v>
      </c>
      <c r="J610" s="5">
        <v>5.76</v>
      </c>
      <c r="K610" s="4">
        <v>80</v>
      </c>
      <c r="L610" s="3">
        <f t="shared" si="27"/>
        <v>2634.9999999999995</v>
      </c>
      <c r="M610" s="3">
        <f t="shared" si="28"/>
        <v>87.581672130667783</v>
      </c>
      <c r="N610" s="3">
        <v>173.5</v>
      </c>
      <c r="O610" s="5">
        <f t="shared" si="29"/>
        <v>50.479349931220632</v>
      </c>
      <c r="P610" s="2" t="s">
        <v>36</v>
      </c>
    </row>
    <row r="611" spans="1:16" x14ac:dyDescent="0.2">
      <c r="A611" s="2" t="s">
        <v>972</v>
      </c>
      <c r="B611" s="2" t="s">
        <v>46</v>
      </c>
      <c r="C611" s="2" t="s">
        <v>100</v>
      </c>
      <c r="D611" s="2" t="s">
        <v>32</v>
      </c>
      <c r="E611" s="2" t="s">
        <v>81</v>
      </c>
      <c r="F611" s="2" t="s">
        <v>50</v>
      </c>
      <c r="G611" s="2" t="s">
        <v>35</v>
      </c>
      <c r="H611" s="3">
        <v>8512</v>
      </c>
      <c r="I611" s="4">
        <v>20</v>
      </c>
      <c r="J611" s="5">
        <v>3.93</v>
      </c>
      <c r="K611" s="4">
        <v>90</v>
      </c>
      <c r="L611" s="3">
        <f t="shared" si="27"/>
        <v>851.19999999999982</v>
      </c>
      <c r="M611" s="3">
        <f t="shared" si="28"/>
        <v>46.140857917969576</v>
      </c>
      <c r="N611" s="3">
        <v>121.9</v>
      </c>
      <c r="O611" s="5">
        <f t="shared" si="29"/>
        <v>37.851401081189152</v>
      </c>
      <c r="P611" s="2" t="s">
        <v>36</v>
      </c>
    </row>
    <row r="612" spans="1:16" x14ac:dyDescent="0.2">
      <c r="A612" s="2" t="s">
        <v>973</v>
      </c>
      <c r="B612" s="2" t="s">
        <v>974</v>
      </c>
      <c r="C612" s="2" t="s">
        <v>53</v>
      </c>
      <c r="D612" s="2" t="s">
        <v>19</v>
      </c>
      <c r="E612" s="2" t="s">
        <v>88</v>
      </c>
      <c r="F612" s="2" t="s">
        <v>21</v>
      </c>
      <c r="G612" s="2" t="s">
        <v>98</v>
      </c>
      <c r="H612" s="3">
        <v>3491</v>
      </c>
      <c r="I612" s="4">
        <v>25</v>
      </c>
      <c r="J612" s="5">
        <v>4.25</v>
      </c>
      <c r="K612" s="4">
        <v>80</v>
      </c>
      <c r="L612" s="3">
        <f t="shared" si="27"/>
        <v>698.19999999999982</v>
      </c>
      <c r="M612" s="3">
        <f t="shared" si="28"/>
        <v>15.129661684184979</v>
      </c>
      <c r="N612" s="3">
        <v>53.5</v>
      </c>
      <c r="O612" s="5">
        <f t="shared" si="29"/>
        <v>28.279741465766318</v>
      </c>
      <c r="P612" s="2" t="s">
        <v>36</v>
      </c>
    </row>
    <row r="613" spans="1:16" x14ac:dyDescent="0.2">
      <c r="A613" s="2" t="s">
        <v>975</v>
      </c>
      <c r="B613" s="2" t="s">
        <v>269</v>
      </c>
      <c r="C613" s="2" t="s">
        <v>67</v>
      </c>
      <c r="D613" s="2" t="s">
        <v>67</v>
      </c>
      <c r="E613" s="2" t="s">
        <v>64</v>
      </c>
      <c r="F613" s="2" t="s">
        <v>50</v>
      </c>
      <c r="G613" s="2" t="s">
        <v>98</v>
      </c>
      <c r="H613" s="3">
        <v>12047</v>
      </c>
      <c r="I613" s="4">
        <v>15</v>
      </c>
      <c r="J613" s="5">
        <v>4.45</v>
      </c>
      <c r="K613" s="4">
        <v>80</v>
      </c>
      <c r="L613" s="3">
        <f t="shared" si="27"/>
        <v>2409.3999999999996</v>
      </c>
      <c r="M613" s="3">
        <f t="shared" si="28"/>
        <v>73.480955241381849</v>
      </c>
      <c r="N613" s="3">
        <v>144.1</v>
      </c>
      <c r="O613" s="5">
        <f t="shared" si="29"/>
        <v>50.993029313936056</v>
      </c>
      <c r="P613" s="2" t="s">
        <v>29</v>
      </c>
    </row>
    <row r="614" spans="1:16" x14ac:dyDescent="0.2">
      <c r="A614" s="2" t="s">
        <v>976</v>
      </c>
      <c r="B614" s="2" t="s">
        <v>541</v>
      </c>
      <c r="C614" s="2" t="s">
        <v>62</v>
      </c>
      <c r="D614" s="2" t="s">
        <v>63</v>
      </c>
      <c r="E614" s="2" t="s">
        <v>97</v>
      </c>
      <c r="F614" s="2" t="s">
        <v>28</v>
      </c>
      <c r="G614" s="2" t="s">
        <v>35</v>
      </c>
      <c r="H614" s="3">
        <v>4614</v>
      </c>
      <c r="I614" s="4">
        <v>20</v>
      </c>
      <c r="J614" s="5">
        <v>5.38</v>
      </c>
      <c r="K614" s="4">
        <v>80</v>
      </c>
      <c r="L614" s="3">
        <f t="shared" si="27"/>
        <v>922.79999999999984</v>
      </c>
      <c r="M614" s="3">
        <f t="shared" si="28"/>
        <v>25.141774405541558</v>
      </c>
      <c r="N614" s="3">
        <v>74.3</v>
      </c>
      <c r="O614" s="5">
        <f t="shared" si="29"/>
        <v>33.838188971119195</v>
      </c>
      <c r="P614" s="2" t="s">
        <v>36</v>
      </c>
    </row>
    <row r="615" spans="1:16" x14ac:dyDescent="0.2">
      <c r="A615" s="2" t="s">
        <v>977</v>
      </c>
      <c r="B615" s="2" t="s">
        <v>353</v>
      </c>
      <c r="C615" s="2" t="s">
        <v>153</v>
      </c>
      <c r="D615" s="2" t="s">
        <v>19</v>
      </c>
      <c r="E615" s="2" t="s">
        <v>81</v>
      </c>
      <c r="F615" s="2" t="s">
        <v>34</v>
      </c>
      <c r="G615" s="2" t="s">
        <v>98</v>
      </c>
      <c r="H615" s="3">
        <v>5846</v>
      </c>
      <c r="I615" s="4">
        <v>25</v>
      </c>
      <c r="J615" s="5">
        <v>4.8899999999999997</v>
      </c>
      <c r="K615" s="4">
        <v>80</v>
      </c>
      <c r="L615" s="3">
        <f t="shared" si="27"/>
        <v>1169.1999999999998</v>
      </c>
      <c r="M615" s="3">
        <f t="shared" si="28"/>
        <v>27.041215658537613</v>
      </c>
      <c r="N615" s="3">
        <v>81.900000000000006</v>
      </c>
      <c r="O615" s="5">
        <f t="shared" si="29"/>
        <v>33.017357336431758</v>
      </c>
      <c r="P615" s="2" t="s">
        <v>36</v>
      </c>
    </row>
    <row r="616" spans="1:16" x14ac:dyDescent="0.2">
      <c r="A616" s="2" t="s">
        <v>978</v>
      </c>
      <c r="B616" s="2" t="s">
        <v>979</v>
      </c>
      <c r="C616" s="2" t="s">
        <v>26</v>
      </c>
      <c r="D616" s="2" t="s">
        <v>27</v>
      </c>
      <c r="E616" s="2" t="s">
        <v>49</v>
      </c>
      <c r="F616" s="2" t="s">
        <v>21</v>
      </c>
      <c r="G616" s="2" t="s">
        <v>44</v>
      </c>
      <c r="H616" s="3">
        <v>12368</v>
      </c>
      <c r="I616" s="4">
        <v>25</v>
      </c>
      <c r="J616" s="5">
        <v>4.84</v>
      </c>
      <c r="K616" s="4">
        <v>80</v>
      </c>
      <c r="L616" s="3">
        <f t="shared" si="27"/>
        <v>2473.5999999999995</v>
      </c>
      <c r="M616" s="3">
        <f t="shared" si="28"/>
        <v>56.923080475818146</v>
      </c>
      <c r="N616" s="3">
        <v>169.8</v>
      </c>
      <c r="O616" s="5">
        <f t="shared" si="29"/>
        <v>33.523604520505387</v>
      </c>
      <c r="P616" s="2" t="s">
        <v>36</v>
      </c>
    </row>
    <row r="617" spans="1:16" x14ac:dyDescent="0.2">
      <c r="A617" s="2" t="s">
        <v>980</v>
      </c>
      <c r="B617" s="2" t="s">
        <v>686</v>
      </c>
      <c r="C617" s="2" t="s">
        <v>175</v>
      </c>
      <c r="D617" s="2" t="s">
        <v>176</v>
      </c>
      <c r="E617" s="2" t="s">
        <v>58</v>
      </c>
      <c r="F617" s="2" t="s">
        <v>34</v>
      </c>
      <c r="G617" s="2" t="s">
        <v>44</v>
      </c>
      <c r="H617" s="3">
        <v>13705</v>
      </c>
      <c r="I617" s="4">
        <v>25</v>
      </c>
      <c r="J617" s="5">
        <v>4.43</v>
      </c>
      <c r="K617" s="4">
        <v>90</v>
      </c>
      <c r="L617" s="3">
        <f t="shared" si="27"/>
        <v>1370.4999999999998</v>
      </c>
      <c r="M617" s="3">
        <f t="shared" si="28"/>
        <v>68.070002454819033</v>
      </c>
      <c r="N617" s="3">
        <v>231.7</v>
      </c>
      <c r="O617" s="5">
        <f t="shared" si="29"/>
        <v>29.378507749166609</v>
      </c>
      <c r="P617" s="2" t="s">
        <v>36</v>
      </c>
    </row>
    <row r="618" spans="1:16" x14ac:dyDescent="0.2">
      <c r="A618" s="2" t="s">
        <v>981</v>
      </c>
      <c r="B618" s="2" t="s">
        <v>219</v>
      </c>
      <c r="C618" s="2" t="s">
        <v>100</v>
      </c>
      <c r="D618" s="2" t="s">
        <v>32</v>
      </c>
      <c r="E618" s="2" t="s">
        <v>78</v>
      </c>
      <c r="F618" s="2" t="s">
        <v>50</v>
      </c>
      <c r="G618" s="2" t="s">
        <v>98</v>
      </c>
      <c r="H618" s="3">
        <v>15979</v>
      </c>
      <c r="I618" s="4">
        <v>20</v>
      </c>
      <c r="J618" s="5">
        <v>4.63</v>
      </c>
      <c r="K618" s="4">
        <v>80</v>
      </c>
      <c r="L618" s="3">
        <f t="shared" si="27"/>
        <v>3195.7999999999993</v>
      </c>
      <c r="M618" s="3">
        <f t="shared" si="28"/>
        <v>81.772621124434451</v>
      </c>
      <c r="N618" s="3">
        <v>170.6</v>
      </c>
      <c r="O618" s="5">
        <f t="shared" si="29"/>
        <v>47.932368771649735</v>
      </c>
      <c r="P618" s="2" t="s">
        <v>36</v>
      </c>
    </row>
    <row r="619" spans="1:16" x14ac:dyDescent="0.2">
      <c r="A619" s="2" t="s">
        <v>982</v>
      </c>
      <c r="B619" s="2" t="s">
        <v>840</v>
      </c>
      <c r="C619" s="2" t="s">
        <v>56</v>
      </c>
      <c r="D619" s="2" t="s">
        <v>57</v>
      </c>
      <c r="E619" s="2" t="s">
        <v>177</v>
      </c>
      <c r="F619" s="2" t="s">
        <v>28</v>
      </c>
      <c r="G619" s="2" t="s">
        <v>44</v>
      </c>
      <c r="H619" s="3">
        <v>2613</v>
      </c>
      <c r="I619" s="4">
        <v>30</v>
      </c>
      <c r="J619" s="5">
        <v>5.32</v>
      </c>
      <c r="K619" s="4">
        <v>80</v>
      </c>
      <c r="L619" s="3">
        <f t="shared" si="27"/>
        <v>522.59999999999991</v>
      </c>
      <c r="M619" s="3">
        <f t="shared" si="28"/>
        <v>11.634064766582455</v>
      </c>
      <c r="N619" s="3">
        <v>32.6</v>
      </c>
      <c r="O619" s="5">
        <f t="shared" si="29"/>
        <v>35.687315234915509</v>
      </c>
      <c r="P619" s="2" t="s">
        <v>36</v>
      </c>
    </row>
    <row r="620" spans="1:16" x14ac:dyDescent="0.2">
      <c r="A620" s="2" t="s">
        <v>983</v>
      </c>
      <c r="B620" s="2" t="s">
        <v>228</v>
      </c>
      <c r="C620" s="2" t="s">
        <v>84</v>
      </c>
      <c r="D620" s="2" t="s">
        <v>85</v>
      </c>
      <c r="E620" s="2" t="s">
        <v>156</v>
      </c>
      <c r="F620" s="2" t="s">
        <v>34</v>
      </c>
      <c r="G620" s="2" t="s">
        <v>35</v>
      </c>
      <c r="H620" s="3">
        <v>13836</v>
      </c>
      <c r="I620" s="4">
        <v>20</v>
      </c>
      <c r="J620" s="5">
        <v>4.92</v>
      </c>
      <c r="K620" s="4">
        <v>80</v>
      </c>
      <c r="L620" s="3">
        <f t="shared" si="27"/>
        <v>2767.1999999999994</v>
      </c>
      <c r="M620" s="3">
        <f t="shared" si="28"/>
        <v>72.560896478848164</v>
      </c>
      <c r="N620" s="3">
        <v>180.5</v>
      </c>
      <c r="O620" s="5">
        <f t="shared" si="29"/>
        <v>40.199942647561308</v>
      </c>
      <c r="P620" s="2" t="s">
        <v>36</v>
      </c>
    </row>
    <row r="621" spans="1:16" x14ac:dyDescent="0.2">
      <c r="A621" s="2" t="s">
        <v>984</v>
      </c>
      <c r="B621" s="2" t="s">
        <v>765</v>
      </c>
      <c r="C621" s="2" t="s">
        <v>62</v>
      </c>
      <c r="D621" s="2" t="s">
        <v>63</v>
      </c>
      <c r="E621" s="2" t="s">
        <v>20</v>
      </c>
      <c r="F621" s="2" t="s">
        <v>59</v>
      </c>
      <c r="G621" s="2" t="s">
        <v>44</v>
      </c>
      <c r="H621" s="3">
        <v>16837</v>
      </c>
      <c r="I621" s="4">
        <v>20</v>
      </c>
      <c r="J621" s="5">
        <v>5.21</v>
      </c>
      <c r="K621" s="4">
        <v>75</v>
      </c>
      <c r="L621" s="3">
        <f t="shared" si="27"/>
        <v>4209.25</v>
      </c>
      <c r="M621" s="3">
        <f t="shared" si="28"/>
        <v>84.809431157579411</v>
      </c>
      <c r="N621" s="3">
        <v>211.3</v>
      </c>
      <c r="O621" s="5">
        <f t="shared" si="29"/>
        <v>40.136976411537816</v>
      </c>
      <c r="P621" s="2" t="s">
        <v>36</v>
      </c>
    </row>
    <row r="622" spans="1:16" x14ac:dyDescent="0.2">
      <c r="A622" s="2" t="s">
        <v>985</v>
      </c>
      <c r="B622" s="2" t="s">
        <v>668</v>
      </c>
      <c r="C622" s="2" t="s">
        <v>67</v>
      </c>
      <c r="D622" s="2" t="s">
        <v>67</v>
      </c>
      <c r="E622" s="2" t="s">
        <v>68</v>
      </c>
      <c r="F622" s="2" t="s">
        <v>34</v>
      </c>
      <c r="G622" s="2" t="s">
        <v>22</v>
      </c>
      <c r="H622" s="3">
        <v>10896</v>
      </c>
      <c r="I622" s="4">
        <v>30</v>
      </c>
      <c r="J622" s="5">
        <v>4.2699999999999996</v>
      </c>
      <c r="K622" s="4">
        <v>80</v>
      </c>
      <c r="L622" s="3">
        <f t="shared" si="27"/>
        <v>2179.1999999999994</v>
      </c>
      <c r="M622" s="3">
        <f t="shared" si="28"/>
        <v>42.983539155565012</v>
      </c>
      <c r="N622" s="3">
        <v>197.6</v>
      </c>
      <c r="O622" s="5">
        <f t="shared" si="29"/>
        <v>21.752803216379053</v>
      </c>
      <c r="P622" s="2" t="s">
        <v>36</v>
      </c>
    </row>
    <row r="623" spans="1:16" x14ac:dyDescent="0.2">
      <c r="A623" s="2" t="s">
        <v>986</v>
      </c>
      <c r="B623" s="2" t="s">
        <v>566</v>
      </c>
      <c r="C623" s="2" t="s">
        <v>175</v>
      </c>
      <c r="D623" s="2" t="s">
        <v>176</v>
      </c>
      <c r="E623" s="2" t="s">
        <v>64</v>
      </c>
      <c r="F623" s="2" t="s">
        <v>28</v>
      </c>
      <c r="G623" s="2" t="s">
        <v>98</v>
      </c>
      <c r="H623" s="3">
        <v>16475</v>
      </c>
      <c r="I623" s="4">
        <v>30</v>
      </c>
      <c r="J623" s="5">
        <v>4.6399999999999997</v>
      </c>
      <c r="K623" s="4">
        <v>90</v>
      </c>
      <c r="L623" s="3">
        <f t="shared" si="27"/>
        <v>1647.4999999999995</v>
      </c>
      <c r="M623" s="3">
        <f t="shared" si="28"/>
        <v>76.36720522913717</v>
      </c>
      <c r="N623" s="3">
        <v>225.6</v>
      </c>
      <c r="O623" s="5">
        <f t="shared" si="29"/>
        <v>33.850711537738107</v>
      </c>
      <c r="P623" s="2" t="s">
        <v>36</v>
      </c>
    </row>
    <row r="624" spans="1:16" x14ac:dyDescent="0.2">
      <c r="A624" s="2" t="s">
        <v>987</v>
      </c>
      <c r="B624" s="2" t="s">
        <v>90</v>
      </c>
      <c r="C624" s="2" t="s">
        <v>32</v>
      </c>
      <c r="D624" s="2" t="s">
        <v>32</v>
      </c>
      <c r="E624" s="2" t="s">
        <v>107</v>
      </c>
      <c r="F624" s="2" t="s">
        <v>50</v>
      </c>
      <c r="G624" s="2" t="s">
        <v>98</v>
      </c>
      <c r="H624" s="3">
        <v>8186</v>
      </c>
      <c r="I624" s="4">
        <v>25</v>
      </c>
      <c r="J624" s="5">
        <v>5.45</v>
      </c>
      <c r="K624" s="4">
        <v>80</v>
      </c>
      <c r="L624" s="3">
        <f t="shared" si="27"/>
        <v>1637.1999999999996</v>
      </c>
      <c r="M624" s="3">
        <f t="shared" si="28"/>
        <v>40.020051447632348</v>
      </c>
      <c r="N624" s="3">
        <v>98.7</v>
      </c>
      <c r="O624" s="5">
        <f t="shared" si="29"/>
        <v>40.547164587266813</v>
      </c>
      <c r="P624" s="2" t="s">
        <v>36</v>
      </c>
    </row>
    <row r="625" spans="1:16" x14ac:dyDescent="0.2">
      <c r="A625" s="2" t="s">
        <v>988</v>
      </c>
      <c r="B625" s="2" t="s">
        <v>384</v>
      </c>
      <c r="C625" s="2" t="s">
        <v>67</v>
      </c>
      <c r="D625" s="2" t="s">
        <v>67</v>
      </c>
      <c r="E625" s="2" t="s">
        <v>58</v>
      </c>
      <c r="F625" s="2" t="s">
        <v>21</v>
      </c>
      <c r="G625" s="2" t="s">
        <v>98</v>
      </c>
      <c r="H625" s="3">
        <v>9167</v>
      </c>
      <c r="I625" s="4">
        <v>20</v>
      </c>
      <c r="J625" s="5">
        <v>4.68</v>
      </c>
      <c r="K625" s="4">
        <v>90</v>
      </c>
      <c r="L625" s="3">
        <f t="shared" si="27"/>
        <v>916.69999999999982</v>
      </c>
      <c r="M625" s="3">
        <f t="shared" si="28"/>
        <v>53.00049317810349</v>
      </c>
      <c r="N625" s="3">
        <v>118</v>
      </c>
      <c r="O625" s="5">
        <f t="shared" si="29"/>
        <v>44.915672184833468</v>
      </c>
      <c r="P625" s="2" t="s">
        <v>36</v>
      </c>
    </row>
    <row r="626" spans="1:16" x14ac:dyDescent="0.2">
      <c r="A626" s="2" t="s">
        <v>989</v>
      </c>
      <c r="B626" s="2" t="s">
        <v>541</v>
      </c>
      <c r="C626" s="2" t="s">
        <v>32</v>
      </c>
      <c r="D626" s="2" t="s">
        <v>32</v>
      </c>
      <c r="E626" s="2" t="s">
        <v>81</v>
      </c>
      <c r="F626" s="2" t="s">
        <v>50</v>
      </c>
      <c r="G626" s="2" t="s">
        <v>98</v>
      </c>
      <c r="H626" s="3">
        <v>16606</v>
      </c>
      <c r="I626" s="4">
        <v>20</v>
      </c>
      <c r="J626" s="5">
        <v>4.97</v>
      </c>
      <c r="K626" s="4">
        <v>85</v>
      </c>
      <c r="L626" s="3">
        <f t="shared" si="27"/>
        <v>2490.9000000000005</v>
      </c>
      <c r="M626" s="3">
        <f t="shared" si="28"/>
        <v>92.919647036847635</v>
      </c>
      <c r="N626" s="3">
        <v>175.4</v>
      </c>
      <c r="O626" s="5">
        <f t="shared" si="29"/>
        <v>52.975853498772885</v>
      </c>
      <c r="P626" s="2" t="s">
        <v>36</v>
      </c>
    </row>
    <row r="627" spans="1:16" x14ac:dyDescent="0.2">
      <c r="A627" s="2" t="s">
        <v>990</v>
      </c>
      <c r="B627" s="2" t="s">
        <v>444</v>
      </c>
      <c r="C627" s="2" t="s">
        <v>146</v>
      </c>
      <c r="D627" s="2" t="s">
        <v>19</v>
      </c>
      <c r="E627" s="2" t="s">
        <v>74</v>
      </c>
      <c r="F627" s="2" t="s">
        <v>50</v>
      </c>
      <c r="G627" s="2" t="s">
        <v>22</v>
      </c>
      <c r="H627" s="3">
        <v>6553</v>
      </c>
      <c r="I627" s="4">
        <v>25</v>
      </c>
      <c r="J627" s="5">
        <v>5.58</v>
      </c>
      <c r="K627" s="4">
        <v>90</v>
      </c>
      <c r="L627" s="3">
        <f t="shared" si="27"/>
        <v>655.29999999999984</v>
      </c>
      <c r="M627" s="3">
        <f t="shared" si="28"/>
        <v>36.49934358492898</v>
      </c>
      <c r="N627" s="3">
        <v>78.2</v>
      </c>
      <c r="O627" s="5">
        <f t="shared" si="29"/>
        <v>46.674352410395116</v>
      </c>
      <c r="P627" s="2" t="s">
        <v>36</v>
      </c>
    </row>
    <row r="628" spans="1:16" x14ac:dyDescent="0.2">
      <c r="A628" s="2" t="s">
        <v>991</v>
      </c>
      <c r="B628" s="2" t="s">
        <v>643</v>
      </c>
      <c r="C628" s="2" t="s">
        <v>62</v>
      </c>
      <c r="D628" s="2" t="s">
        <v>63</v>
      </c>
      <c r="E628" s="2" t="s">
        <v>81</v>
      </c>
      <c r="F628" s="2" t="s">
        <v>34</v>
      </c>
      <c r="G628" s="2" t="s">
        <v>22</v>
      </c>
      <c r="H628" s="3">
        <v>6934</v>
      </c>
      <c r="I628" s="4">
        <v>20</v>
      </c>
      <c r="J628" s="5">
        <v>4.57</v>
      </c>
      <c r="K628" s="4">
        <v>70</v>
      </c>
      <c r="L628" s="3">
        <f t="shared" si="27"/>
        <v>2080.2000000000003</v>
      </c>
      <c r="M628" s="3">
        <f t="shared" si="28"/>
        <v>30.891241619873007</v>
      </c>
      <c r="N628" s="3">
        <v>74.400000000000006</v>
      </c>
      <c r="O628" s="5">
        <f t="shared" si="29"/>
        <v>41.520486048216405</v>
      </c>
      <c r="P628" s="2" t="s">
        <v>23</v>
      </c>
    </row>
    <row r="629" spans="1:16" x14ac:dyDescent="0.2">
      <c r="A629" s="2" t="s">
        <v>992</v>
      </c>
      <c r="B629" s="2" t="s">
        <v>200</v>
      </c>
      <c r="C629" s="2" t="s">
        <v>119</v>
      </c>
      <c r="D629" s="2" t="s">
        <v>120</v>
      </c>
      <c r="E629" s="2" t="s">
        <v>156</v>
      </c>
      <c r="F629" s="2" t="s">
        <v>59</v>
      </c>
      <c r="G629" s="2" t="s">
        <v>44</v>
      </c>
      <c r="H629" s="3">
        <v>16972</v>
      </c>
      <c r="I629" s="4">
        <v>20</v>
      </c>
      <c r="J629" s="5">
        <v>4.62</v>
      </c>
      <c r="K629" s="4">
        <v>85</v>
      </c>
      <c r="L629" s="3">
        <f t="shared" si="27"/>
        <v>2545.8000000000002</v>
      </c>
      <c r="M629" s="3">
        <f t="shared" si="28"/>
        <v>92.204367836589029</v>
      </c>
      <c r="N629" s="3">
        <v>191.4</v>
      </c>
      <c r="O629" s="5">
        <f t="shared" si="29"/>
        <v>48.17365090730879</v>
      </c>
      <c r="P629" s="2" t="s">
        <v>36</v>
      </c>
    </row>
    <row r="630" spans="1:16" x14ac:dyDescent="0.2">
      <c r="A630" s="2" t="s">
        <v>993</v>
      </c>
      <c r="B630" s="2" t="s">
        <v>943</v>
      </c>
      <c r="C630" s="2" t="s">
        <v>91</v>
      </c>
      <c r="D630" s="2" t="s">
        <v>92</v>
      </c>
      <c r="E630" s="2" t="s">
        <v>88</v>
      </c>
      <c r="F630" s="2" t="s">
        <v>28</v>
      </c>
      <c r="G630" s="2" t="s">
        <v>98</v>
      </c>
      <c r="H630" s="3">
        <v>1810</v>
      </c>
      <c r="I630" s="4">
        <v>25</v>
      </c>
      <c r="J630" s="5">
        <v>4.0199999999999996</v>
      </c>
      <c r="K630" s="4">
        <v>70</v>
      </c>
      <c r="L630" s="3">
        <f t="shared" si="27"/>
        <v>543.00000000000011</v>
      </c>
      <c r="M630" s="3">
        <f t="shared" si="28"/>
        <v>6.7016922868112658</v>
      </c>
      <c r="N630" s="3">
        <v>27.6</v>
      </c>
      <c r="O630" s="5">
        <f t="shared" si="29"/>
        <v>24.281493792794439</v>
      </c>
      <c r="P630" s="2" t="s">
        <v>36</v>
      </c>
    </row>
    <row r="631" spans="1:16" x14ac:dyDescent="0.2">
      <c r="A631" s="2" t="s">
        <v>994</v>
      </c>
      <c r="B631" s="2" t="s">
        <v>995</v>
      </c>
      <c r="C631" s="2" t="s">
        <v>39</v>
      </c>
      <c r="D631" s="2" t="s">
        <v>40</v>
      </c>
      <c r="E631" s="2" t="s">
        <v>74</v>
      </c>
      <c r="F631" s="2" t="s">
        <v>21</v>
      </c>
      <c r="G631" s="2" t="s">
        <v>22</v>
      </c>
      <c r="H631" s="3">
        <v>2998</v>
      </c>
      <c r="I631" s="4">
        <v>30</v>
      </c>
      <c r="J631" s="5">
        <v>5.03</v>
      </c>
      <c r="K631" s="4">
        <v>75</v>
      </c>
      <c r="L631" s="3">
        <f t="shared" si="27"/>
        <v>749.5</v>
      </c>
      <c r="M631" s="3">
        <f t="shared" si="28"/>
        <v>12.111693432209277</v>
      </c>
      <c r="N631" s="3">
        <v>35.200000000000003</v>
      </c>
      <c r="O631" s="5">
        <f t="shared" si="29"/>
        <v>34.408219977867262</v>
      </c>
      <c r="P631" s="2" t="s">
        <v>36</v>
      </c>
    </row>
    <row r="632" spans="1:16" x14ac:dyDescent="0.2">
      <c r="A632" s="2" t="s">
        <v>996</v>
      </c>
      <c r="B632" s="2" t="s">
        <v>997</v>
      </c>
      <c r="C632" s="2" t="s">
        <v>56</v>
      </c>
      <c r="D632" s="2" t="s">
        <v>57</v>
      </c>
      <c r="E632" s="2" t="s">
        <v>33</v>
      </c>
      <c r="F632" s="2" t="s">
        <v>28</v>
      </c>
      <c r="G632" s="2" t="s">
        <v>35</v>
      </c>
      <c r="H632" s="3">
        <v>15564</v>
      </c>
      <c r="I632" s="4">
        <v>25</v>
      </c>
      <c r="J632" s="5">
        <v>4.3099999999999996</v>
      </c>
      <c r="K632" s="4">
        <v>80</v>
      </c>
      <c r="L632" s="3">
        <f t="shared" si="27"/>
        <v>3112.7999999999993</v>
      </c>
      <c r="M632" s="3">
        <f t="shared" si="28"/>
        <v>67.871894110416164</v>
      </c>
      <c r="N632" s="3">
        <v>239.2</v>
      </c>
      <c r="O632" s="5">
        <f t="shared" si="29"/>
        <v>28.374537671578665</v>
      </c>
      <c r="P632" s="2" t="s">
        <v>36</v>
      </c>
    </row>
    <row r="633" spans="1:16" x14ac:dyDescent="0.2">
      <c r="A633" s="2" t="s">
        <v>998</v>
      </c>
      <c r="B633" s="2" t="s">
        <v>353</v>
      </c>
      <c r="C633" s="2" t="s">
        <v>18</v>
      </c>
      <c r="D633" s="2" t="s">
        <v>19</v>
      </c>
      <c r="E633" s="2" t="s">
        <v>74</v>
      </c>
      <c r="F633" s="2" t="s">
        <v>34</v>
      </c>
      <c r="G633" s="2" t="s">
        <v>35</v>
      </c>
      <c r="H633" s="3">
        <v>11601</v>
      </c>
      <c r="I633" s="4">
        <v>25</v>
      </c>
      <c r="J633" s="5">
        <v>5.41</v>
      </c>
      <c r="K633" s="4">
        <v>85</v>
      </c>
      <c r="L633" s="3">
        <f t="shared" si="27"/>
        <v>1740.1500000000003</v>
      </c>
      <c r="M633" s="3">
        <f t="shared" si="28"/>
        <v>60.025397988208518</v>
      </c>
      <c r="N633" s="3">
        <v>171</v>
      </c>
      <c r="O633" s="5">
        <f t="shared" si="29"/>
        <v>35.102571922928959</v>
      </c>
      <c r="P633" s="2" t="s">
        <v>29</v>
      </c>
    </row>
    <row r="634" spans="1:16" x14ac:dyDescent="0.2">
      <c r="A634" s="2" t="s">
        <v>999</v>
      </c>
      <c r="B634" s="2" t="s">
        <v>678</v>
      </c>
      <c r="C634" s="2" t="s">
        <v>131</v>
      </c>
      <c r="D634" s="2" t="s">
        <v>27</v>
      </c>
      <c r="E634" s="2" t="s">
        <v>74</v>
      </c>
      <c r="F634" s="2" t="s">
        <v>28</v>
      </c>
      <c r="G634" s="2" t="s">
        <v>22</v>
      </c>
      <c r="H634" s="3">
        <v>3716</v>
      </c>
      <c r="I634" s="4">
        <v>20</v>
      </c>
      <c r="J634" s="5">
        <v>5.42</v>
      </c>
      <c r="K634" s="4">
        <v>85</v>
      </c>
      <c r="L634" s="3">
        <f t="shared" si="27"/>
        <v>557.40000000000009</v>
      </c>
      <c r="M634" s="3">
        <f t="shared" si="28"/>
        <v>21.585138640464013</v>
      </c>
      <c r="N634" s="3">
        <v>61.9</v>
      </c>
      <c r="O634" s="5">
        <f t="shared" si="29"/>
        <v>34.870983264077566</v>
      </c>
      <c r="P634" s="2" t="s">
        <v>36</v>
      </c>
    </row>
    <row r="635" spans="1:16" x14ac:dyDescent="0.2">
      <c r="A635" s="2" t="s">
        <v>1000</v>
      </c>
      <c r="B635" s="2" t="s">
        <v>403</v>
      </c>
      <c r="C635" s="2" t="s">
        <v>53</v>
      </c>
      <c r="D635" s="2" t="s">
        <v>19</v>
      </c>
      <c r="E635" s="2" t="s">
        <v>41</v>
      </c>
      <c r="F635" s="2" t="s">
        <v>34</v>
      </c>
      <c r="G635" s="2" t="s">
        <v>44</v>
      </c>
      <c r="H635" s="3">
        <v>4419</v>
      </c>
      <c r="I635" s="4">
        <v>25</v>
      </c>
      <c r="J635" s="5">
        <v>5.15</v>
      </c>
      <c r="K635" s="4">
        <v>80</v>
      </c>
      <c r="L635" s="3">
        <f t="shared" si="27"/>
        <v>883.79999999999984</v>
      </c>
      <c r="M635" s="3">
        <f t="shared" si="28"/>
        <v>20.976555680801809</v>
      </c>
      <c r="N635" s="3">
        <v>46.7</v>
      </c>
      <c r="O635" s="5">
        <f t="shared" si="29"/>
        <v>44.917678117348622</v>
      </c>
      <c r="P635" s="2" t="s">
        <v>36</v>
      </c>
    </row>
    <row r="636" spans="1:16" x14ac:dyDescent="0.2">
      <c r="A636" s="2" t="s">
        <v>1001</v>
      </c>
      <c r="B636" s="2" t="s">
        <v>1002</v>
      </c>
      <c r="C636" s="2" t="s">
        <v>91</v>
      </c>
      <c r="D636" s="2" t="s">
        <v>92</v>
      </c>
      <c r="E636" s="2" t="s">
        <v>156</v>
      </c>
      <c r="F636" s="2" t="s">
        <v>28</v>
      </c>
      <c r="G636" s="2" t="s">
        <v>22</v>
      </c>
      <c r="H636" s="3">
        <v>6459</v>
      </c>
      <c r="I636" s="4">
        <v>15</v>
      </c>
      <c r="J636" s="5">
        <v>4.3099999999999996</v>
      </c>
      <c r="K636" s="4">
        <v>75</v>
      </c>
      <c r="L636" s="3">
        <f t="shared" si="27"/>
        <v>1614.75</v>
      </c>
      <c r="M636" s="3">
        <f t="shared" si="28"/>
        <v>36.589524228164201</v>
      </c>
      <c r="N636" s="3">
        <v>79.400000000000006</v>
      </c>
      <c r="O636" s="5">
        <f t="shared" si="29"/>
        <v>46.08252421683148</v>
      </c>
      <c r="P636" s="2" t="s">
        <v>36</v>
      </c>
    </row>
    <row r="637" spans="1:16" x14ac:dyDescent="0.2">
      <c r="A637" s="2" t="s">
        <v>1003</v>
      </c>
      <c r="B637" s="2" t="s">
        <v>562</v>
      </c>
      <c r="C637" s="2" t="s">
        <v>153</v>
      </c>
      <c r="D637" s="2" t="s">
        <v>19</v>
      </c>
      <c r="E637" s="2" t="s">
        <v>58</v>
      </c>
      <c r="F637" s="2" t="s">
        <v>59</v>
      </c>
      <c r="G637" s="2" t="s">
        <v>22</v>
      </c>
      <c r="H637" s="3">
        <v>12811</v>
      </c>
      <c r="I637" s="4">
        <v>20</v>
      </c>
      <c r="J637" s="5">
        <v>5.45</v>
      </c>
      <c r="K637" s="4">
        <v>70</v>
      </c>
      <c r="L637" s="3">
        <f t="shared" si="27"/>
        <v>3843.3000000000006</v>
      </c>
      <c r="M637" s="3">
        <f t="shared" si="28"/>
        <v>61.434697859945018</v>
      </c>
      <c r="N637" s="3">
        <v>175.8</v>
      </c>
      <c r="O637" s="5">
        <f t="shared" si="29"/>
        <v>34.945789453893639</v>
      </c>
      <c r="P637" s="2" t="s">
        <v>36</v>
      </c>
    </row>
    <row r="638" spans="1:16" x14ac:dyDescent="0.2">
      <c r="A638" s="2" t="s">
        <v>1004</v>
      </c>
      <c r="B638" s="2" t="s">
        <v>286</v>
      </c>
      <c r="C638" s="2" t="s">
        <v>77</v>
      </c>
      <c r="D638" s="2" t="s">
        <v>19</v>
      </c>
      <c r="E638" s="2" t="s">
        <v>81</v>
      </c>
      <c r="F638" s="2" t="s">
        <v>28</v>
      </c>
      <c r="G638" s="2" t="s">
        <v>44</v>
      </c>
      <c r="H638" s="3">
        <v>1826</v>
      </c>
      <c r="I638" s="4">
        <v>30</v>
      </c>
      <c r="J638" s="5">
        <v>4.66</v>
      </c>
      <c r="K638" s="4">
        <v>80</v>
      </c>
      <c r="L638" s="3">
        <f t="shared" si="27"/>
        <v>365.19999999999993</v>
      </c>
      <c r="M638" s="3">
        <f t="shared" si="28"/>
        <v>7.5411802327032902</v>
      </c>
      <c r="N638" s="3">
        <v>26.2</v>
      </c>
      <c r="O638" s="5">
        <f t="shared" si="29"/>
        <v>28.783130659172862</v>
      </c>
      <c r="P638" s="2" t="s">
        <v>36</v>
      </c>
    </row>
    <row r="639" spans="1:16" x14ac:dyDescent="0.2">
      <c r="A639" s="2" t="s">
        <v>1005</v>
      </c>
      <c r="B639" s="2" t="s">
        <v>210</v>
      </c>
      <c r="C639" s="2" t="s">
        <v>142</v>
      </c>
      <c r="D639" s="2" t="s">
        <v>143</v>
      </c>
      <c r="E639" s="2" t="s">
        <v>78</v>
      </c>
      <c r="F639" s="2" t="s">
        <v>59</v>
      </c>
      <c r="G639" s="2" t="s">
        <v>44</v>
      </c>
      <c r="H639" s="3">
        <v>10705</v>
      </c>
      <c r="I639" s="4">
        <v>20</v>
      </c>
      <c r="J639" s="5">
        <v>4.28</v>
      </c>
      <c r="K639" s="4">
        <v>85</v>
      </c>
      <c r="L639" s="3">
        <f t="shared" si="27"/>
        <v>1605.7500000000002</v>
      </c>
      <c r="M639" s="3">
        <f t="shared" si="28"/>
        <v>56.491401255817465</v>
      </c>
      <c r="N639" s="3">
        <v>175.7</v>
      </c>
      <c r="O639" s="5">
        <f t="shared" si="29"/>
        <v>32.152191949810735</v>
      </c>
      <c r="P639" s="2" t="s">
        <v>36</v>
      </c>
    </row>
    <row r="640" spans="1:16" x14ac:dyDescent="0.2">
      <c r="A640" s="2" t="s">
        <v>1006</v>
      </c>
      <c r="B640" s="2" t="s">
        <v>775</v>
      </c>
      <c r="C640" s="2" t="s">
        <v>84</v>
      </c>
      <c r="D640" s="2" t="s">
        <v>85</v>
      </c>
      <c r="E640" s="2" t="s">
        <v>81</v>
      </c>
      <c r="F640" s="2" t="s">
        <v>50</v>
      </c>
      <c r="G640" s="2" t="s">
        <v>44</v>
      </c>
      <c r="H640" s="3">
        <v>8383</v>
      </c>
      <c r="I640" s="4">
        <v>30</v>
      </c>
      <c r="J640" s="5">
        <v>5.13</v>
      </c>
      <c r="K640" s="4">
        <v>80</v>
      </c>
      <c r="L640" s="3">
        <f t="shared" si="27"/>
        <v>1676.5999999999997</v>
      </c>
      <c r="M640" s="3">
        <f t="shared" si="28"/>
        <v>36.536108975593287</v>
      </c>
      <c r="N640" s="3">
        <v>99.9</v>
      </c>
      <c r="O640" s="5">
        <f t="shared" si="29"/>
        <v>36.572681657250534</v>
      </c>
      <c r="P640" s="2" t="s">
        <v>36</v>
      </c>
    </row>
    <row r="641" spans="1:16" x14ac:dyDescent="0.2">
      <c r="A641" s="2" t="s">
        <v>1007</v>
      </c>
      <c r="B641" s="2" t="s">
        <v>137</v>
      </c>
      <c r="C641" s="2" t="s">
        <v>91</v>
      </c>
      <c r="D641" s="2" t="s">
        <v>92</v>
      </c>
      <c r="E641" s="2" t="s">
        <v>74</v>
      </c>
      <c r="F641" s="2" t="s">
        <v>50</v>
      </c>
      <c r="G641" s="2" t="s">
        <v>22</v>
      </c>
      <c r="H641" s="3">
        <v>17976</v>
      </c>
      <c r="I641" s="4">
        <v>15</v>
      </c>
      <c r="J641" s="5">
        <v>4.29</v>
      </c>
      <c r="K641" s="4">
        <v>80</v>
      </c>
      <c r="L641" s="3">
        <f t="shared" si="27"/>
        <v>3595.1999999999994</v>
      </c>
      <c r="M641" s="3">
        <f t="shared" si="28"/>
        <v>108.47501415555439</v>
      </c>
      <c r="N641" s="3">
        <v>227.8</v>
      </c>
      <c r="O641" s="5">
        <f t="shared" si="29"/>
        <v>47.618531235976462</v>
      </c>
      <c r="P641" s="2" t="s">
        <v>23</v>
      </c>
    </row>
    <row r="642" spans="1:16" x14ac:dyDescent="0.2">
      <c r="A642" s="2" t="s">
        <v>1008</v>
      </c>
      <c r="B642" s="2" t="s">
        <v>524</v>
      </c>
      <c r="C642" s="2" t="s">
        <v>26</v>
      </c>
      <c r="D642" s="2" t="s">
        <v>27</v>
      </c>
      <c r="E642" s="2" t="s">
        <v>58</v>
      </c>
      <c r="F642" s="2" t="s">
        <v>34</v>
      </c>
      <c r="G642" s="2" t="s">
        <v>44</v>
      </c>
      <c r="H642" s="3">
        <v>1982</v>
      </c>
      <c r="I642" s="4">
        <v>20</v>
      </c>
      <c r="J642" s="5">
        <v>4.42</v>
      </c>
      <c r="K642" s="4">
        <v>85</v>
      </c>
      <c r="L642" s="3">
        <f t="shared" ref="L642:L705" si="30">H642*(1-K642/100)</f>
        <v>297.30000000000007</v>
      </c>
      <c r="M642" s="3">
        <f t="shared" ref="M642:M705" si="31">PMT(J642/100/12, I642*12, -(H642*K642/100))</f>
        <v>10.585630500869856</v>
      </c>
      <c r="N642" s="3">
        <v>21.9</v>
      </c>
      <c r="O642" s="5">
        <f t="shared" ref="O642:O705" si="32">IFERROR(M642/N642*100,0)</f>
        <v>48.336212332739073</v>
      </c>
      <c r="P642" s="2" t="s">
        <v>36</v>
      </c>
    </row>
    <row r="643" spans="1:16" x14ac:dyDescent="0.2">
      <c r="A643" s="2" t="s">
        <v>1009</v>
      </c>
      <c r="B643" s="2" t="s">
        <v>612</v>
      </c>
      <c r="C643" s="2" t="s">
        <v>142</v>
      </c>
      <c r="D643" s="2" t="s">
        <v>143</v>
      </c>
      <c r="E643" s="2" t="s">
        <v>97</v>
      </c>
      <c r="F643" s="2" t="s">
        <v>34</v>
      </c>
      <c r="G643" s="2" t="s">
        <v>44</v>
      </c>
      <c r="H643" s="3">
        <v>12661</v>
      </c>
      <c r="I643" s="4">
        <v>20</v>
      </c>
      <c r="J643" s="5">
        <v>4.83</v>
      </c>
      <c r="K643" s="4">
        <v>85</v>
      </c>
      <c r="L643" s="3">
        <f t="shared" si="30"/>
        <v>1899.1500000000003</v>
      </c>
      <c r="M643" s="3">
        <f t="shared" si="31"/>
        <v>70.016682305703839</v>
      </c>
      <c r="N643" s="3">
        <v>190.9</v>
      </c>
      <c r="O643" s="5">
        <f t="shared" si="32"/>
        <v>36.677151548299548</v>
      </c>
      <c r="P643" s="2" t="s">
        <v>36</v>
      </c>
    </row>
    <row r="644" spans="1:16" x14ac:dyDescent="0.2">
      <c r="A644" s="2" t="s">
        <v>1010</v>
      </c>
      <c r="B644" s="2" t="s">
        <v>309</v>
      </c>
      <c r="C644" s="2" t="s">
        <v>62</v>
      </c>
      <c r="D644" s="2" t="s">
        <v>63</v>
      </c>
      <c r="E644" s="2" t="s">
        <v>68</v>
      </c>
      <c r="F644" s="2" t="s">
        <v>28</v>
      </c>
      <c r="G644" s="2" t="s">
        <v>22</v>
      </c>
      <c r="H644" s="3">
        <v>4631</v>
      </c>
      <c r="I644" s="4">
        <v>25</v>
      </c>
      <c r="J644" s="5">
        <v>5.34</v>
      </c>
      <c r="K644" s="4">
        <v>90</v>
      </c>
      <c r="L644" s="3">
        <f t="shared" si="30"/>
        <v>463.09999999999991</v>
      </c>
      <c r="M644" s="3">
        <f t="shared" si="31"/>
        <v>25.197840107250933</v>
      </c>
      <c r="N644" s="3">
        <v>53.6</v>
      </c>
      <c r="O644" s="5">
        <f t="shared" si="32"/>
        <v>47.010895722483085</v>
      </c>
      <c r="P644" s="2" t="s">
        <v>36</v>
      </c>
    </row>
    <row r="645" spans="1:16" x14ac:dyDescent="0.2">
      <c r="A645" s="2" t="s">
        <v>1011</v>
      </c>
      <c r="B645" s="2" t="s">
        <v>979</v>
      </c>
      <c r="C645" s="2" t="s">
        <v>142</v>
      </c>
      <c r="D645" s="2" t="s">
        <v>143</v>
      </c>
      <c r="E645" s="2" t="s">
        <v>107</v>
      </c>
      <c r="F645" s="2" t="s">
        <v>59</v>
      </c>
      <c r="G645" s="2" t="s">
        <v>98</v>
      </c>
      <c r="H645" s="3">
        <v>5484</v>
      </c>
      <c r="I645" s="4">
        <v>25</v>
      </c>
      <c r="J645" s="5">
        <v>4.05</v>
      </c>
      <c r="K645" s="4">
        <v>70</v>
      </c>
      <c r="L645" s="3">
        <f t="shared" si="30"/>
        <v>1645.2000000000003</v>
      </c>
      <c r="M645" s="3">
        <f t="shared" si="31"/>
        <v>20.368731202520603</v>
      </c>
      <c r="N645" s="3">
        <v>78.099999999999994</v>
      </c>
      <c r="O645" s="5">
        <f t="shared" si="32"/>
        <v>26.080321642151858</v>
      </c>
      <c r="P645" s="2" t="s">
        <v>36</v>
      </c>
    </row>
    <row r="646" spans="1:16" x14ac:dyDescent="0.2">
      <c r="A646" s="2" t="s">
        <v>1012</v>
      </c>
      <c r="B646" s="2" t="s">
        <v>768</v>
      </c>
      <c r="C646" s="2" t="s">
        <v>39</v>
      </c>
      <c r="D646" s="2" t="s">
        <v>40</v>
      </c>
      <c r="E646" s="2" t="s">
        <v>49</v>
      </c>
      <c r="F646" s="2" t="s">
        <v>28</v>
      </c>
      <c r="G646" s="2" t="s">
        <v>22</v>
      </c>
      <c r="H646" s="3">
        <v>10962</v>
      </c>
      <c r="I646" s="4">
        <v>20</v>
      </c>
      <c r="J646" s="5">
        <v>4.21</v>
      </c>
      <c r="K646" s="4">
        <v>75</v>
      </c>
      <c r="L646" s="3">
        <f t="shared" si="30"/>
        <v>2740.5</v>
      </c>
      <c r="M646" s="3">
        <f t="shared" si="31"/>
        <v>50.735120445445546</v>
      </c>
      <c r="N646" s="3">
        <v>150.30000000000001</v>
      </c>
      <c r="O646" s="5">
        <f t="shared" si="32"/>
        <v>33.755901826643743</v>
      </c>
      <c r="P646" s="2" t="s">
        <v>69</v>
      </c>
    </row>
    <row r="647" spans="1:16" x14ac:dyDescent="0.2">
      <c r="A647" s="2" t="s">
        <v>1013</v>
      </c>
      <c r="B647" s="2" t="s">
        <v>511</v>
      </c>
      <c r="C647" s="2" t="s">
        <v>100</v>
      </c>
      <c r="D647" s="2" t="s">
        <v>32</v>
      </c>
      <c r="E647" s="2" t="s">
        <v>41</v>
      </c>
      <c r="F647" s="2" t="s">
        <v>21</v>
      </c>
      <c r="G647" s="2" t="s">
        <v>35</v>
      </c>
      <c r="H647" s="3">
        <v>6621</v>
      </c>
      <c r="I647" s="4">
        <v>20</v>
      </c>
      <c r="J647" s="5">
        <v>4.91</v>
      </c>
      <c r="K647" s="4">
        <v>80</v>
      </c>
      <c r="L647" s="3">
        <f t="shared" si="30"/>
        <v>1324.1999999999998</v>
      </c>
      <c r="M647" s="3">
        <f t="shared" si="31"/>
        <v>34.69372693998924</v>
      </c>
      <c r="N647" s="3">
        <v>75.400000000000006</v>
      </c>
      <c r="O647" s="5">
        <f t="shared" si="32"/>
        <v>46.01290045091411</v>
      </c>
      <c r="P647" s="2" t="s">
        <v>36</v>
      </c>
    </row>
    <row r="648" spans="1:16" x14ac:dyDescent="0.2">
      <c r="A648" s="2" t="s">
        <v>1014</v>
      </c>
      <c r="B648" s="2" t="s">
        <v>630</v>
      </c>
      <c r="C648" s="2" t="s">
        <v>47</v>
      </c>
      <c r="D648" s="2" t="s">
        <v>48</v>
      </c>
      <c r="E648" s="2" t="s">
        <v>33</v>
      </c>
      <c r="F648" s="2" t="s">
        <v>59</v>
      </c>
      <c r="G648" s="2" t="s">
        <v>98</v>
      </c>
      <c r="H648" s="3">
        <v>4740</v>
      </c>
      <c r="I648" s="4">
        <v>30</v>
      </c>
      <c r="J648" s="5">
        <v>5.14</v>
      </c>
      <c r="K648" s="4">
        <v>80</v>
      </c>
      <c r="L648" s="3">
        <f t="shared" si="30"/>
        <v>947.99999999999977</v>
      </c>
      <c r="M648" s="3">
        <f t="shared" si="31"/>
        <v>20.681957739577374</v>
      </c>
      <c r="N648" s="3">
        <v>55.5</v>
      </c>
      <c r="O648" s="5">
        <f t="shared" si="32"/>
        <v>37.264788719959235</v>
      </c>
      <c r="P648" s="2" t="s">
        <v>36</v>
      </c>
    </row>
    <row r="649" spans="1:16" x14ac:dyDescent="0.2">
      <c r="A649" s="2" t="s">
        <v>1015</v>
      </c>
      <c r="B649" s="2" t="s">
        <v>358</v>
      </c>
      <c r="C649" s="2" t="s">
        <v>131</v>
      </c>
      <c r="D649" s="2" t="s">
        <v>27</v>
      </c>
      <c r="E649" s="2" t="s">
        <v>41</v>
      </c>
      <c r="F649" s="2" t="s">
        <v>21</v>
      </c>
      <c r="G649" s="2" t="s">
        <v>44</v>
      </c>
      <c r="H649" s="3">
        <v>12341</v>
      </c>
      <c r="I649" s="4">
        <v>25</v>
      </c>
      <c r="J649" s="5">
        <v>4.8099999999999996</v>
      </c>
      <c r="K649" s="4">
        <v>80</v>
      </c>
      <c r="L649" s="3">
        <f t="shared" si="30"/>
        <v>2468.1999999999994</v>
      </c>
      <c r="M649" s="3">
        <f t="shared" si="31"/>
        <v>56.627792321502682</v>
      </c>
      <c r="N649" s="3">
        <v>190.2</v>
      </c>
      <c r="O649" s="5">
        <f t="shared" si="32"/>
        <v>29.772761472924653</v>
      </c>
      <c r="P649" s="2" t="s">
        <v>36</v>
      </c>
    </row>
    <row r="650" spans="1:16" x14ac:dyDescent="0.2">
      <c r="A650" s="2" t="s">
        <v>1016</v>
      </c>
      <c r="B650" s="2" t="s">
        <v>550</v>
      </c>
      <c r="C650" s="2" t="s">
        <v>84</v>
      </c>
      <c r="D650" s="2" t="s">
        <v>85</v>
      </c>
      <c r="E650" s="2" t="s">
        <v>64</v>
      </c>
      <c r="F650" s="2" t="s">
        <v>50</v>
      </c>
      <c r="G650" s="2" t="s">
        <v>44</v>
      </c>
      <c r="H650" s="3">
        <v>12597</v>
      </c>
      <c r="I650" s="4">
        <v>25</v>
      </c>
      <c r="J650" s="5">
        <v>4.07</v>
      </c>
      <c r="K650" s="4">
        <v>80</v>
      </c>
      <c r="L650" s="3">
        <f t="shared" si="30"/>
        <v>2519.3999999999996</v>
      </c>
      <c r="M650" s="3">
        <f t="shared" si="31"/>
        <v>53.583564679112747</v>
      </c>
      <c r="N650" s="3">
        <v>194.6</v>
      </c>
      <c r="O650" s="5">
        <f t="shared" si="32"/>
        <v>27.535233648053826</v>
      </c>
      <c r="P650" s="2" t="s">
        <v>36</v>
      </c>
    </row>
    <row r="651" spans="1:16" x14ac:dyDescent="0.2">
      <c r="A651" s="2" t="s">
        <v>1017</v>
      </c>
      <c r="B651" s="2" t="s">
        <v>1018</v>
      </c>
      <c r="C651" s="2" t="s">
        <v>100</v>
      </c>
      <c r="D651" s="2" t="s">
        <v>32</v>
      </c>
      <c r="E651" s="2" t="s">
        <v>20</v>
      </c>
      <c r="F651" s="2" t="s">
        <v>59</v>
      </c>
      <c r="G651" s="2" t="s">
        <v>35</v>
      </c>
      <c r="H651" s="3">
        <v>10703</v>
      </c>
      <c r="I651" s="4">
        <v>25</v>
      </c>
      <c r="J651" s="5">
        <v>5.48</v>
      </c>
      <c r="K651" s="4">
        <v>80</v>
      </c>
      <c r="L651" s="3">
        <f t="shared" si="30"/>
        <v>2140.5999999999995</v>
      </c>
      <c r="M651" s="3">
        <f t="shared" si="31"/>
        <v>52.478408300385375</v>
      </c>
      <c r="N651" s="3">
        <v>187</v>
      </c>
      <c r="O651" s="5">
        <f t="shared" si="32"/>
        <v>28.063319946730147</v>
      </c>
      <c r="P651" s="2" t="s">
        <v>36</v>
      </c>
    </row>
    <row r="652" spans="1:16" x14ac:dyDescent="0.2">
      <c r="A652" s="2" t="s">
        <v>1019</v>
      </c>
      <c r="B652" s="2" t="s">
        <v>604</v>
      </c>
      <c r="C652" s="2" t="s">
        <v>32</v>
      </c>
      <c r="D652" s="2" t="s">
        <v>32</v>
      </c>
      <c r="E652" s="2" t="s">
        <v>81</v>
      </c>
      <c r="F652" s="2" t="s">
        <v>59</v>
      </c>
      <c r="G652" s="2" t="s">
        <v>98</v>
      </c>
      <c r="H652" s="3">
        <v>2965</v>
      </c>
      <c r="I652" s="4">
        <v>20</v>
      </c>
      <c r="J652" s="5">
        <v>5.74</v>
      </c>
      <c r="K652" s="4">
        <v>80</v>
      </c>
      <c r="L652" s="3">
        <f t="shared" si="30"/>
        <v>592.99999999999989</v>
      </c>
      <c r="M652" s="3">
        <f t="shared" si="31"/>
        <v>16.639882249887702</v>
      </c>
      <c r="N652" s="3">
        <v>39.5</v>
      </c>
      <c r="O652" s="5">
        <f t="shared" si="32"/>
        <v>42.126284176930888</v>
      </c>
      <c r="P652" s="2" t="s">
        <v>36</v>
      </c>
    </row>
    <row r="653" spans="1:16" x14ac:dyDescent="0.2">
      <c r="A653" s="2" t="s">
        <v>1020</v>
      </c>
      <c r="B653" s="2" t="s">
        <v>459</v>
      </c>
      <c r="C653" s="2" t="s">
        <v>77</v>
      </c>
      <c r="D653" s="2" t="s">
        <v>19</v>
      </c>
      <c r="E653" s="2" t="s">
        <v>41</v>
      </c>
      <c r="F653" s="2" t="s">
        <v>28</v>
      </c>
      <c r="G653" s="2" t="s">
        <v>44</v>
      </c>
      <c r="H653" s="3">
        <v>16391</v>
      </c>
      <c r="I653" s="4">
        <v>25</v>
      </c>
      <c r="J653" s="5">
        <v>5.25</v>
      </c>
      <c r="K653" s="4">
        <v>90</v>
      </c>
      <c r="L653" s="3">
        <f t="shared" si="30"/>
        <v>1639.0999999999997</v>
      </c>
      <c r="M653" s="3">
        <f t="shared" si="31"/>
        <v>88.400423694351446</v>
      </c>
      <c r="N653" s="3">
        <v>205.3</v>
      </c>
      <c r="O653" s="5">
        <f t="shared" si="32"/>
        <v>43.059144517462947</v>
      </c>
      <c r="P653" s="2" t="s">
        <v>36</v>
      </c>
    </row>
    <row r="654" spans="1:16" x14ac:dyDescent="0.2">
      <c r="A654" s="2" t="s">
        <v>1021</v>
      </c>
      <c r="B654" s="2" t="s">
        <v>1022</v>
      </c>
      <c r="C654" s="2" t="s">
        <v>62</v>
      </c>
      <c r="D654" s="2" t="s">
        <v>63</v>
      </c>
      <c r="E654" s="2" t="s">
        <v>74</v>
      </c>
      <c r="F654" s="2" t="s">
        <v>50</v>
      </c>
      <c r="G654" s="2" t="s">
        <v>22</v>
      </c>
      <c r="H654" s="3">
        <v>12676</v>
      </c>
      <c r="I654" s="4">
        <v>25</v>
      </c>
      <c r="J654" s="5">
        <v>4.22</v>
      </c>
      <c r="K654" s="4">
        <v>75</v>
      </c>
      <c r="L654" s="3">
        <f t="shared" si="30"/>
        <v>3169</v>
      </c>
      <c r="M654" s="3">
        <f t="shared" si="31"/>
        <v>51.34347594493174</v>
      </c>
      <c r="N654" s="3">
        <v>224.9</v>
      </c>
      <c r="O654" s="5">
        <f t="shared" si="32"/>
        <v>22.829469072890944</v>
      </c>
      <c r="P654" s="2" t="s">
        <v>36</v>
      </c>
    </row>
    <row r="655" spans="1:16" x14ac:dyDescent="0.2">
      <c r="A655" s="2" t="s">
        <v>1023</v>
      </c>
      <c r="B655" s="2" t="s">
        <v>435</v>
      </c>
      <c r="C655" s="2" t="s">
        <v>72</v>
      </c>
      <c r="D655" s="2" t="s">
        <v>73</v>
      </c>
      <c r="E655" s="2" t="s">
        <v>68</v>
      </c>
      <c r="F655" s="2" t="s">
        <v>34</v>
      </c>
      <c r="G655" s="2" t="s">
        <v>44</v>
      </c>
      <c r="H655" s="3">
        <v>17596</v>
      </c>
      <c r="I655" s="4">
        <v>25</v>
      </c>
      <c r="J655" s="5">
        <v>5.45</v>
      </c>
      <c r="K655" s="4">
        <v>75</v>
      </c>
      <c r="L655" s="3">
        <f t="shared" si="30"/>
        <v>4399</v>
      </c>
      <c r="M655" s="3">
        <f t="shared" si="31"/>
        <v>80.647541374664669</v>
      </c>
      <c r="N655" s="3">
        <v>214.8</v>
      </c>
      <c r="O655" s="5">
        <f t="shared" si="32"/>
        <v>37.545410323400681</v>
      </c>
      <c r="P655" s="2" t="s">
        <v>36</v>
      </c>
    </row>
    <row r="656" spans="1:16" x14ac:dyDescent="0.2">
      <c r="A656" s="2" t="s">
        <v>1024</v>
      </c>
      <c r="B656" s="2" t="s">
        <v>1025</v>
      </c>
      <c r="C656" s="2" t="s">
        <v>77</v>
      </c>
      <c r="D656" s="2" t="s">
        <v>19</v>
      </c>
      <c r="E656" s="2" t="s">
        <v>156</v>
      </c>
      <c r="F656" s="2" t="s">
        <v>59</v>
      </c>
      <c r="G656" s="2" t="s">
        <v>35</v>
      </c>
      <c r="H656" s="3">
        <v>3937</v>
      </c>
      <c r="I656" s="4">
        <v>30</v>
      </c>
      <c r="J656" s="5">
        <v>4.74</v>
      </c>
      <c r="K656" s="4">
        <v>80</v>
      </c>
      <c r="L656" s="3">
        <f t="shared" si="30"/>
        <v>787.39999999999986</v>
      </c>
      <c r="M656" s="3">
        <f t="shared" si="31"/>
        <v>16.410825468030406</v>
      </c>
      <c r="N656" s="3">
        <v>69.3</v>
      </c>
      <c r="O656" s="5">
        <f t="shared" si="32"/>
        <v>23.680844831212706</v>
      </c>
      <c r="P656" s="2" t="s">
        <v>23</v>
      </c>
    </row>
    <row r="657" spans="1:16" x14ac:dyDescent="0.2">
      <c r="A657" s="2" t="s">
        <v>1026</v>
      </c>
      <c r="B657" s="2" t="s">
        <v>353</v>
      </c>
      <c r="C657" s="2" t="s">
        <v>142</v>
      </c>
      <c r="D657" s="2" t="s">
        <v>143</v>
      </c>
      <c r="E657" s="2" t="s">
        <v>88</v>
      </c>
      <c r="F657" s="2" t="s">
        <v>34</v>
      </c>
      <c r="G657" s="2" t="s">
        <v>44</v>
      </c>
      <c r="H657" s="3">
        <v>12369</v>
      </c>
      <c r="I657" s="4">
        <v>30</v>
      </c>
      <c r="J657" s="5">
        <v>4.76</v>
      </c>
      <c r="K657" s="4">
        <v>75</v>
      </c>
      <c r="L657" s="3">
        <f t="shared" si="30"/>
        <v>3092.25</v>
      </c>
      <c r="M657" s="3">
        <f t="shared" si="31"/>
        <v>48.447851174365127</v>
      </c>
      <c r="N657" s="3">
        <v>191.1</v>
      </c>
      <c r="O657" s="5">
        <f t="shared" si="32"/>
        <v>25.352093759479398</v>
      </c>
      <c r="P657" s="2" t="s">
        <v>23</v>
      </c>
    </row>
    <row r="658" spans="1:16" x14ac:dyDescent="0.2">
      <c r="A658" s="2" t="s">
        <v>1027</v>
      </c>
      <c r="B658" s="2" t="s">
        <v>1028</v>
      </c>
      <c r="C658" s="2" t="s">
        <v>77</v>
      </c>
      <c r="D658" s="2" t="s">
        <v>19</v>
      </c>
      <c r="E658" s="2" t="s">
        <v>20</v>
      </c>
      <c r="F658" s="2" t="s">
        <v>50</v>
      </c>
      <c r="G658" s="2" t="s">
        <v>35</v>
      </c>
      <c r="H658" s="3">
        <v>15965</v>
      </c>
      <c r="I658" s="4">
        <v>30</v>
      </c>
      <c r="J658" s="5">
        <v>5.19</v>
      </c>
      <c r="K658" s="4">
        <v>85</v>
      </c>
      <c r="L658" s="3">
        <f t="shared" si="30"/>
        <v>2394.7500000000005</v>
      </c>
      <c r="M658" s="3">
        <f t="shared" si="31"/>
        <v>74.431911431492125</v>
      </c>
      <c r="N658" s="3">
        <v>179.6</v>
      </c>
      <c r="O658" s="5">
        <f t="shared" si="32"/>
        <v>41.443157812634809</v>
      </c>
      <c r="P658" s="2" t="s">
        <v>23</v>
      </c>
    </row>
    <row r="659" spans="1:16" x14ac:dyDescent="0.2">
      <c r="A659" s="2" t="s">
        <v>1029</v>
      </c>
      <c r="B659" s="2" t="s">
        <v>166</v>
      </c>
      <c r="C659" s="2" t="s">
        <v>146</v>
      </c>
      <c r="D659" s="2" t="s">
        <v>19</v>
      </c>
      <c r="E659" s="2" t="s">
        <v>64</v>
      </c>
      <c r="F659" s="2" t="s">
        <v>28</v>
      </c>
      <c r="G659" s="2" t="s">
        <v>35</v>
      </c>
      <c r="H659" s="3">
        <v>1954</v>
      </c>
      <c r="I659" s="4">
        <v>25</v>
      </c>
      <c r="J659" s="5">
        <v>5.38</v>
      </c>
      <c r="K659" s="4">
        <v>80</v>
      </c>
      <c r="L659" s="3">
        <f t="shared" si="30"/>
        <v>390.7999999999999</v>
      </c>
      <c r="M659" s="3">
        <f t="shared" si="31"/>
        <v>9.4877151364882959</v>
      </c>
      <c r="N659" s="3">
        <v>25.9</v>
      </c>
      <c r="O659" s="5">
        <f t="shared" si="32"/>
        <v>36.632104774086088</v>
      </c>
      <c r="P659" s="2" t="s">
        <v>36</v>
      </c>
    </row>
    <row r="660" spans="1:16" x14ac:dyDescent="0.2">
      <c r="A660" s="2" t="s">
        <v>1030</v>
      </c>
      <c r="B660" s="2" t="s">
        <v>912</v>
      </c>
      <c r="C660" s="2" t="s">
        <v>47</v>
      </c>
      <c r="D660" s="2" t="s">
        <v>48</v>
      </c>
      <c r="E660" s="2" t="s">
        <v>177</v>
      </c>
      <c r="F660" s="2" t="s">
        <v>50</v>
      </c>
      <c r="G660" s="2" t="s">
        <v>22</v>
      </c>
      <c r="H660" s="3">
        <v>17388</v>
      </c>
      <c r="I660" s="4">
        <v>15</v>
      </c>
      <c r="J660" s="5">
        <v>5.46</v>
      </c>
      <c r="K660" s="4">
        <v>90</v>
      </c>
      <c r="L660" s="3">
        <f t="shared" si="30"/>
        <v>1738.7999999999997</v>
      </c>
      <c r="M660" s="3">
        <f t="shared" si="31"/>
        <v>127.53509469917961</v>
      </c>
      <c r="N660" s="3">
        <v>291</v>
      </c>
      <c r="O660" s="5">
        <f t="shared" si="32"/>
        <v>43.826493023773061</v>
      </c>
      <c r="P660" s="2" t="s">
        <v>36</v>
      </c>
    </row>
    <row r="661" spans="1:16" x14ac:dyDescent="0.2">
      <c r="A661" s="2" t="s">
        <v>1031</v>
      </c>
      <c r="B661" s="2" t="s">
        <v>418</v>
      </c>
      <c r="C661" s="2" t="s">
        <v>142</v>
      </c>
      <c r="D661" s="2" t="s">
        <v>143</v>
      </c>
      <c r="E661" s="2" t="s">
        <v>156</v>
      </c>
      <c r="F661" s="2" t="s">
        <v>50</v>
      </c>
      <c r="G661" s="2" t="s">
        <v>22</v>
      </c>
      <c r="H661" s="3">
        <v>10556</v>
      </c>
      <c r="I661" s="4">
        <v>20</v>
      </c>
      <c r="J661" s="5">
        <v>4.99</v>
      </c>
      <c r="K661" s="4">
        <v>70</v>
      </c>
      <c r="L661" s="3">
        <f t="shared" si="30"/>
        <v>3166.8000000000006</v>
      </c>
      <c r="M661" s="3">
        <f t="shared" si="31"/>
        <v>48.724639212379699</v>
      </c>
      <c r="N661" s="3">
        <v>121.5</v>
      </c>
      <c r="O661" s="5">
        <f t="shared" si="32"/>
        <v>40.102583713892756</v>
      </c>
      <c r="P661" s="2" t="s">
        <v>69</v>
      </c>
    </row>
    <row r="662" spans="1:16" x14ac:dyDescent="0.2">
      <c r="A662" s="2" t="s">
        <v>1032</v>
      </c>
      <c r="B662" s="2" t="s">
        <v>645</v>
      </c>
      <c r="C662" s="2" t="s">
        <v>18</v>
      </c>
      <c r="D662" s="2" t="s">
        <v>19</v>
      </c>
      <c r="E662" s="2" t="s">
        <v>64</v>
      </c>
      <c r="F662" s="2" t="s">
        <v>21</v>
      </c>
      <c r="G662" s="2" t="s">
        <v>22</v>
      </c>
      <c r="H662" s="3">
        <v>7475</v>
      </c>
      <c r="I662" s="4">
        <v>30</v>
      </c>
      <c r="J662" s="5">
        <v>5.55</v>
      </c>
      <c r="K662" s="4">
        <v>70</v>
      </c>
      <c r="L662" s="3">
        <f t="shared" si="30"/>
        <v>2242.5000000000005</v>
      </c>
      <c r="M662" s="3">
        <f t="shared" si="31"/>
        <v>29.873914270190461</v>
      </c>
      <c r="N662" s="3">
        <v>106.1</v>
      </c>
      <c r="O662" s="5">
        <f t="shared" si="32"/>
        <v>28.156375372469807</v>
      </c>
      <c r="P662" s="2" t="s">
        <v>36</v>
      </c>
    </row>
    <row r="663" spans="1:16" x14ac:dyDescent="0.2">
      <c r="A663" s="2" t="s">
        <v>1033</v>
      </c>
      <c r="B663" s="2" t="s">
        <v>1034</v>
      </c>
      <c r="C663" s="2" t="s">
        <v>91</v>
      </c>
      <c r="D663" s="2" t="s">
        <v>92</v>
      </c>
      <c r="E663" s="2" t="s">
        <v>177</v>
      </c>
      <c r="F663" s="2" t="s">
        <v>50</v>
      </c>
      <c r="G663" s="2" t="s">
        <v>22</v>
      </c>
      <c r="H663" s="3">
        <v>14478</v>
      </c>
      <c r="I663" s="4">
        <v>25</v>
      </c>
      <c r="J663" s="5">
        <v>5.0599999999999996</v>
      </c>
      <c r="K663" s="4">
        <v>80</v>
      </c>
      <c r="L663" s="3">
        <f t="shared" si="30"/>
        <v>2895.5999999999995</v>
      </c>
      <c r="M663" s="3">
        <f t="shared" si="31"/>
        <v>68.115065805116885</v>
      </c>
      <c r="N663" s="3">
        <v>167</v>
      </c>
      <c r="O663" s="5">
        <f t="shared" si="32"/>
        <v>40.787464553962202</v>
      </c>
      <c r="P663" s="2" t="s">
        <v>29</v>
      </c>
    </row>
    <row r="664" spans="1:16" x14ac:dyDescent="0.2">
      <c r="A664" s="2" t="s">
        <v>1035</v>
      </c>
      <c r="B664" s="2" t="s">
        <v>538</v>
      </c>
      <c r="C664" s="2" t="s">
        <v>47</v>
      </c>
      <c r="D664" s="2" t="s">
        <v>48</v>
      </c>
      <c r="E664" s="2" t="s">
        <v>156</v>
      </c>
      <c r="F664" s="2" t="s">
        <v>34</v>
      </c>
      <c r="G664" s="2" t="s">
        <v>98</v>
      </c>
      <c r="H664" s="3">
        <v>15649</v>
      </c>
      <c r="I664" s="4">
        <v>30</v>
      </c>
      <c r="J664" s="5">
        <v>5.07</v>
      </c>
      <c r="K664" s="4">
        <v>90</v>
      </c>
      <c r="L664" s="3">
        <f t="shared" si="30"/>
        <v>1564.8999999999996</v>
      </c>
      <c r="M664" s="3">
        <f t="shared" si="31"/>
        <v>76.210171335110488</v>
      </c>
      <c r="N664" s="3">
        <v>187.2</v>
      </c>
      <c r="O664" s="5">
        <f t="shared" si="32"/>
        <v>40.710561610635949</v>
      </c>
      <c r="P664" s="2" t="s">
        <v>69</v>
      </c>
    </row>
    <row r="665" spans="1:16" x14ac:dyDescent="0.2">
      <c r="A665" s="2" t="s">
        <v>1036</v>
      </c>
      <c r="B665" s="2" t="s">
        <v>517</v>
      </c>
      <c r="C665" s="2" t="s">
        <v>131</v>
      </c>
      <c r="D665" s="2" t="s">
        <v>27</v>
      </c>
      <c r="E665" s="2" t="s">
        <v>156</v>
      </c>
      <c r="F665" s="2" t="s">
        <v>28</v>
      </c>
      <c r="G665" s="2" t="s">
        <v>35</v>
      </c>
      <c r="H665" s="3">
        <v>17072</v>
      </c>
      <c r="I665" s="4">
        <v>25</v>
      </c>
      <c r="J665" s="5">
        <v>5.05</v>
      </c>
      <c r="K665" s="4">
        <v>70</v>
      </c>
      <c r="L665" s="3">
        <f t="shared" si="30"/>
        <v>5121.6000000000004</v>
      </c>
      <c r="M665" s="3">
        <f t="shared" si="31"/>
        <v>70.209420757125145</v>
      </c>
      <c r="N665" s="3">
        <v>306</v>
      </c>
      <c r="O665" s="5">
        <f t="shared" si="32"/>
        <v>22.944255149387303</v>
      </c>
      <c r="P665" s="2" t="s">
        <v>36</v>
      </c>
    </row>
    <row r="666" spans="1:16" x14ac:dyDescent="0.2">
      <c r="A666" s="2" t="s">
        <v>1037</v>
      </c>
      <c r="B666" s="2" t="s">
        <v>379</v>
      </c>
      <c r="C666" s="2" t="s">
        <v>18</v>
      </c>
      <c r="D666" s="2" t="s">
        <v>19</v>
      </c>
      <c r="E666" s="2" t="s">
        <v>49</v>
      </c>
      <c r="F666" s="2" t="s">
        <v>59</v>
      </c>
      <c r="G666" s="2" t="s">
        <v>22</v>
      </c>
      <c r="H666" s="3">
        <v>4497</v>
      </c>
      <c r="I666" s="4">
        <v>25</v>
      </c>
      <c r="J666" s="5">
        <v>5.5</v>
      </c>
      <c r="K666" s="4">
        <v>80</v>
      </c>
      <c r="L666" s="3">
        <f t="shared" si="30"/>
        <v>899.39999999999975</v>
      </c>
      <c r="M666" s="3">
        <f t="shared" si="31"/>
        <v>22.092411622318174</v>
      </c>
      <c r="N666" s="3">
        <v>47.6</v>
      </c>
      <c r="O666" s="5">
        <f t="shared" si="32"/>
        <v>46.412629458651629</v>
      </c>
      <c r="P666" s="2" t="s">
        <v>36</v>
      </c>
    </row>
    <row r="667" spans="1:16" x14ac:dyDescent="0.2">
      <c r="A667" s="2" t="s">
        <v>1038</v>
      </c>
      <c r="B667" s="2" t="s">
        <v>1002</v>
      </c>
      <c r="C667" s="2" t="s">
        <v>18</v>
      </c>
      <c r="D667" s="2" t="s">
        <v>19</v>
      </c>
      <c r="E667" s="2" t="s">
        <v>88</v>
      </c>
      <c r="F667" s="2" t="s">
        <v>28</v>
      </c>
      <c r="G667" s="2" t="s">
        <v>98</v>
      </c>
      <c r="H667" s="3">
        <v>12369</v>
      </c>
      <c r="I667" s="4">
        <v>25</v>
      </c>
      <c r="J667" s="5">
        <v>4.7300000000000004</v>
      </c>
      <c r="K667" s="4">
        <v>75</v>
      </c>
      <c r="L667" s="3">
        <f t="shared" si="30"/>
        <v>3092.25</v>
      </c>
      <c r="M667" s="3">
        <f t="shared" si="31"/>
        <v>52.781703992522807</v>
      </c>
      <c r="N667" s="3">
        <v>140.19999999999999</v>
      </c>
      <c r="O667" s="5">
        <f t="shared" si="32"/>
        <v>37.64743508739145</v>
      </c>
      <c r="P667" s="2" t="s">
        <v>23</v>
      </c>
    </row>
    <row r="668" spans="1:16" x14ac:dyDescent="0.2">
      <c r="A668" s="2" t="s">
        <v>1039</v>
      </c>
      <c r="B668" s="2" t="s">
        <v>455</v>
      </c>
      <c r="C668" s="2" t="s">
        <v>77</v>
      </c>
      <c r="D668" s="2" t="s">
        <v>19</v>
      </c>
      <c r="E668" s="2" t="s">
        <v>33</v>
      </c>
      <c r="F668" s="2" t="s">
        <v>21</v>
      </c>
      <c r="G668" s="2" t="s">
        <v>22</v>
      </c>
      <c r="H668" s="3">
        <v>17318</v>
      </c>
      <c r="I668" s="4">
        <v>30</v>
      </c>
      <c r="J668" s="5">
        <v>4.0599999999999996</v>
      </c>
      <c r="K668" s="4">
        <v>90</v>
      </c>
      <c r="L668" s="3">
        <f t="shared" si="30"/>
        <v>1731.7999999999997</v>
      </c>
      <c r="M668" s="3">
        <f t="shared" si="31"/>
        <v>74.951049343925192</v>
      </c>
      <c r="N668" s="3">
        <v>211.6</v>
      </c>
      <c r="O668" s="5">
        <f t="shared" si="32"/>
        <v>35.421100824161243</v>
      </c>
      <c r="P668" s="2" t="s">
        <v>36</v>
      </c>
    </row>
    <row r="669" spans="1:16" x14ac:dyDescent="0.2">
      <c r="A669" s="2" t="s">
        <v>1040</v>
      </c>
      <c r="B669" s="2" t="s">
        <v>226</v>
      </c>
      <c r="C669" s="2" t="s">
        <v>91</v>
      </c>
      <c r="D669" s="2" t="s">
        <v>92</v>
      </c>
      <c r="E669" s="2" t="s">
        <v>81</v>
      </c>
      <c r="F669" s="2" t="s">
        <v>50</v>
      </c>
      <c r="G669" s="2" t="s">
        <v>35</v>
      </c>
      <c r="H669" s="3">
        <v>6921</v>
      </c>
      <c r="I669" s="4">
        <v>15</v>
      </c>
      <c r="J669" s="5">
        <v>4.4000000000000004</v>
      </c>
      <c r="K669" s="4">
        <v>70</v>
      </c>
      <c r="L669" s="3">
        <f t="shared" si="30"/>
        <v>2076.3000000000002</v>
      </c>
      <c r="M669" s="3">
        <f t="shared" si="31"/>
        <v>36.814509574188115</v>
      </c>
      <c r="N669" s="3">
        <v>88</v>
      </c>
      <c r="O669" s="5">
        <f t="shared" si="32"/>
        <v>41.834669970668315</v>
      </c>
      <c r="P669" s="2" t="s">
        <v>36</v>
      </c>
    </row>
    <row r="670" spans="1:16" x14ac:dyDescent="0.2">
      <c r="A670" s="2" t="s">
        <v>1041</v>
      </c>
      <c r="B670" s="2" t="s">
        <v>433</v>
      </c>
      <c r="C670" s="2" t="s">
        <v>84</v>
      </c>
      <c r="D670" s="2" t="s">
        <v>85</v>
      </c>
      <c r="E670" s="2" t="s">
        <v>107</v>
      </c>
      <c r="F670" s="2" t="s">
        <v>50</v>
      </c>
      <c r="G670" s="2" t="s">
        <v>44</v>
      </c>
      <c r="H670" s="3">
        <v>1686</v>
      </c>
      <c r="I670" s="4">
        <v>30</v>
      </c>
      <c r="J670" s="5">
        <v>4.47</v>
      </c>
      <c r="K670" s="4">
        <v>80</v>
      </c>
      <c r="L670" s="3">
        <f t="shared" si="30"/>
        <v>337.19999999999993</v>
      </c>
      <c r="M670" s="3">
        <f t="shared" si="31"/>
        <v>6.8101497150199206</v>
      </c>
      <c r="N670" s="3">
        <v>22.3</v>
      </c>
      <c r="O670" s="5">
        <f t="shared" si="32"/>
        <v>30.538787959730584</v>
      </c>
      <c r="P670" s="2" t="s">
        <v>23</v>
      </c>
    </row>
    <row r="671" spans="1:16" x14ac:dyDescent="0.2">
      <c r="A671" s="2" t="s">
        <v>1042</v>
      </c>
      <c r="B671" s="2" t="s">
        <v>1043</v>
      </c>
      <c r="C671" s="2" t="s">
        <v>62</v>
      </c>
      <c r="D671" s="2" t="s">
        <v>63</v>
      </c>
      <c r="E671" s="2" t="s">
        <v>78</v>
      </c>
      <c r="F671" s="2" t="s">
        <v>28</v>
      </c>
      <c r="G671" s="2" t="s">
        <v>98</v>
      </c>
      <c r="H671" s="3">
        <v>12301</v>
      </c>
      <c r="I671" s="4">
        <v>20</v>
      </c>
      <c r="J671" s="5">
        <v>5.27</v>
      </c>
      <c r="K671" s="4">
        <v>80</v>
      </c>
      <c r="L671" s="3">
        <f t="shared" si="30"/>
        <v>2460.1999999999994</v>
      </c>
      <c r="M671" s="3">
        <f t="shared" si="31"/>
        <v>66.421655159698432</v>
      </c>
      <c r="N671" s="3">
        <v>138.6</v>
      </c>
      <c r="O671" s="5">
        <f t="shared" si="32"/>
        <v>47.92327212099454</v>
      </c>
      <c r="P671" s="2" t="s">
        <v>36</v>
      </c>
    </row>
    <row r="672" spans="1:16" x14ac:dyDescent="0.2">
      <c r="A672" s="2" t="s">
        <v>1044</v>
      </c>
      <c r="B672" s="2" t="s">
        <v>155</v>
      </c>
      <c r="C672" s="2" t="s">
        <v>153</v>
      </c>
      <c r="D672" s="2" t="s">
        <v>19</v>
      </c>
      <c r="E672" s="2" t="s">
        <v>97</v>
      </c>
      <c r="F672" s="2" t="s">
        <v>21</v>
      </c>
      <c r="G672" s="2" t="s">
        <v>35</v>
      </c>
      <c r="H672" s="3">
        <v>14952</v>
      </c>
      <c r="I672" s="4">
        <v>20</v>
      </c>
      <c r="J672" s="5">
        <v>5.09</v>
      </c>
      <c r="K672" s="4">
        <v>90</v>
      </c>
      <c r="L672" s="3">
        <f t="shared" si="30"/>
        <v>1495.1999999999996</v>
      </c>
      <c r="M672" s="3">
        <f t="shared" si="31"/>
        <v>89.479329395145101</v>
      </c>
      <c r="N672" s="3">
        <v>193.7</v>
      </c>
      <c r="O672" s="5">
        <f t="shared" si="32"/>
        <v>46.194800926765673</v>
      </c>
      <c r="P672" s="2" t="s">
        <v>69</v>
      </c>
    </row>
    <row r="673" spans="1:16" x14ac:dyDescent="0.2">
      <c r="A673" s="2" t="s">
        <v>1045</v>
      </c>
      <c r="B673" s="2" t="s">
        <v>141</v>
      </c>
      <c r="C673" s="2" t="s">
        <v>91</v>
      </c>
      <c r="D673" s="2" t="s">
        <v>92</v>
      </c>
      <c r="E673" s="2" t="s">
        <v>78</v>
      </c>
      <c r="F673" s="2" t="s">
        <v>28</v>
      </c>
      <c r="G673" s="2" t="s">
        <v>22</v>
      </c>
      <c r="H673" s="3">
        <v>3461</v>
      </c>
      <c r="I673" s="4">
        <v>20</v>
      </c>
      <c r="J673" s="5">
        <v>4.24</v>
      </c>
      <c r="K673" s="4">
        <v>80</v>
      </c>
      <c r="L673" s="3">
        <f t="shared" si="30"/>
        <v>692.19999999999982</v>
      </c>
      <c r="M673" s="3">
        <f t="shared" si="31"/>
        <v>17.130599035916045</v>
      </c>
      <c r="N673" s="3">
        <v>43</v>
      </c>
      <c r="O673" s="5">
        <f t="shared" si="32"/>
        <v>39.838602409107082</v>
      </c>
      <c r="P673" s="2" t="s">
        <v>29</v>
      </c>
    </row>
    <row r="674" spans="1:16" x14ac:dyDescent="0.2">
      <c r="A674" s="2" t="s">
        <v>1046</v>
      </c>
      <c r="B674" s="2" t="s">
        <v>786</v>
      </c>
      <c r="C674" s="2" t="s">
        <v>84</v>
      </c>
      <c r="D674" s="2" t="s">
        <v>85</v>
      </c>
      <c r="E674" s="2" t="s">
        <v>68</v>
      </c>
      <c r="F674" s="2" t="s">
        <v>34</v>
      </c>
      <c r="G674" s="2" t="s">
        <v>98</v>
      </c>
      <c r="H674" s="3">
        <v>15608</v>
      </c>
      <c r="I674" s="4">
        <v>30</v>
      </c>
      <c r="J674" s="5">
        <v>4.63</v>
      </c>
      <c r="K674" s="4">
        <v>90</v>
      </c>
      <c r="L674" s="3">
        <f t="shared" si="30"/>
        <v>1560.7999999999997</v>
      </c>
      <c r="M674" s="3">
        <f t="shared" si="31"/>
        <v>72.264247537885382</v>
      </c>
      <c r="N674" s="3">
        <v>180.8</v>
      </c>
      <c r="O674" s="5">
        <f t="shared" si="32"/>
        <v>39.969163461219786</v>
      </c>
      <c r="P674" s="2" t="s">
        <v>29</v>
      </c>
    </row>
    <row r="675" spans="1:16" x14ac:dyDescent="0.2">
      <c r="A675" s="2" t="s">
        <v>1047</v>
      </c>
      <c r="B675" s="2" t="s">
        <v>162</v>
      </c>
      <c r="C675" s="2" t="s">
        <v>91</v>
      </c>
      <c r="D675" s="2" t="s">
        <v>92</v>
      </c>
      <c r="E675" s="2" t="s">
        <v>78</v>
      </c>
      <c r="F675" s="2" t="s">
        <v>21</v>
      </c>
      <c r="G675" s="2" t="s">
        <v>35</v>
      </c>
      <c r="H675" s="3">
        <v>4978</v>
      </c>
      <c r="I675" s="4">
        <v>30</v>
      </c>
      <c r="J675" s="5">
        <v>4.66</v>
      </c>
      <c r="K675" s="4">
        <v>80</v>
      </c>
      <c r="L675" s="3">
        <f t="shared" si="30"/>
        <v>995.5999999999998</v>
      </c>
      <c r="M675" s="3">
        <f t="shared" si="31"/>
        <v>20.558595398903055</v>
      </c>
      <c r="N675" s="3">
        <v>62.6</v>
      </c>
      <c r="O675" s="5">
        <f t="shared" si="32"/>
        <v>32.841206707512868</v>
      </c>
      <c r="P675" s="2" t="s">
        <v>23</v>
      </c>
    </row>
    <row r="676" spans="1:16" x14ac:dyDescent="0.2">
      <c r="A676" s="2" t="s">
        <v>1048</v>
      </c>
      <c r="B676" s="2" t="s">
        <v>907</v>
      </c>
      <c r="C676" s="2" t="s">
        <v>67</v>
      </c>
      <c r="D676" s="2" t="s">
        <v>67</v>
      </c>
      <c r="E676" s="2" t="s">
        <v>81</v>
      </c>
      <c r="F676" s="2" t="s">
        <v>28</v>
      </c>
      <c r="G676" s="2" t="s">
        <v>35</v>
      </c>
      <c r="H676" s="3">
        <v>9261</v>
      </c>
      <c r="I676" s="4">
        <v>30</v>
      </c>
      <c r="J676" s="5">
        <v>4.38</v>
      </c>
      <c r="K676" s="4">
        <v>85</v>
      </c>
      <c r="L676" s="3">
        <f t="shared" si="30"/>
        <v>1389.1500000000003</v>
      </c>
      <c r="M676" s="3">
        <f t="shared" si="31"/>
        <v>39.326205025959446</v>
      </c>
      <c r="N676" s="3">
        <v>113.3</v>
      </c>
      <c r="O676" s="5">
        <f t="shared" si="32"/>
        <v>34.709801435092189</v>
      </c>
      <c r="P676" s="2" t="s">
        <v>36</v>
      </c>
    </row>
    <row r="677" spans="1:16" x14ac:dyDescent="0.2">
      <c r="A677" s="2" t="s">
        <v>1049</v>
      </c>
      <c r="B677" s="2" t="s">
        <v>1050</v>
      </c>
      <c r="C677" s="2" t="s">
        <v>72</v>
      </c>
      <c r="D677" s="2" t="s">
        <v>73</v>
      </c>
      <c r="E677" s="2" t="s">
        <v>64</v>
      </c>
      <c r="F677" s="2" t="s">
        <v>50</v>
      </c>
      <c r="G677" s="2" t="s">
        <v>44</v>
      </c>
      <c r="H677" s="3">
        <v>7481</v>
      </c>
      <c r="I677" s="4">
        <v>30</v>
      </c>
      <c r="J677" s="5">
        <v>4.5</v>
      </c>
      <c r="K677" s="4">
        <v>80</v>
      </c>
      <c r="L677" s="3">
        <f t="shared" si="30"/>
        <v>1496.1999999999996</v>
      </c>
      <c r="M677" s="3">
        <f t="shared" si="31"/>
        <v>30.324102422459308</v>
      </c>
      <c r="N677" s="3">
        <v>93.8</v>
      </c>
      <c r="O677" s="5">
        <f t="shared" si="32"/>
        <v>32.32846740134255</v>
      </c>
      <c r="P677" s="2" t="s">
        <v>29</v>
      </c>
    </row>
    <row r="678" spans="1:16" x14ac:dyDescent="0.2">
      <c r="A678" s="2" t="s">
        <v>1051</v>
      </c>
      <c r="B678" s="2" t="s">
        <v>111</v>
      </c>
      <c r="C678" s="2" t="s">
        <v>47</v>
      </c>
      <c r="D678" s="2" t="s">
        <v>48</v>
      </c>
      <c r="E678" s="2" t="s">
        <v>33</v>
      </c>
      <c r="F678" s="2" t="s">
        <v>28</v>
      </c>
      <c r="G678" s="2" t="s">
        <v>44</v>
      </c>
      <c r="H678" s="3">
        <v>16369</v>
      </c>
      <c r="I678" s="4">
        <v>20</v>
      </c>
      <c r="J678" s="5">
        <v>4.6900000000000004</v>
      </c>
      <c r="K678" s="4">
        <v>70</v>
      </c>
      <c r="L678" s="3">
        <f t="shared" si="30"/>
        <v>4910.7000000000007</v>
      </c>
      <c r="M678" s="3">
        <f t="shared" si="31"/>
        <v>73.671294950775859</v>
      </c>
      <c r="N678" s="3">
        <v>276.89999999999998</v>
      </c>
      <c r="O678" s="5">
        <f t="shared" si="32"/>
        <v>26.605740321695869</v>
      </c>
      <c r="P678" s="2" t="s">
        <v>29</v>
      </c>
    </row>
    <row r="679" spans="1:16" x14ac:dyDescent="0.2">
      <c r="A679" s="2" t="s">
        <v>1052</v>
      </c>
      <c r="B679" s="2" t="s">
        <v>457</v>
      </c>
      <c r="C679" s="2" t="s">
        <v>100</v>
      </c>
      <c r="D679" s="2" t="s">
        <v>32</v>
      </c>
      <c r="E679" s="2" t="s">
        <v>81</v>
      </c>
      <c r="F679" s="2" t="s">
        <v>50</v>
      </c>
      <c r="G679" s="2" t="s">
        <v>98</v>
      </c>
      <c r="H679" s="3">
        <v>10257</v>
      </c>
      <c r="I679" s="4">
        <v>15</v>
      </c>
      <c r="J679" s="5">
        <v>5.0599999999999996</v>
      </c>
      <c r="K679" s="4">
        <v>80</v>
      </c>
      <c r="L679" s="3">
        <f t="shared" si="30"/>
        <v>2051.3999999999996</v>
      </c>
      <c r="M679" s="3">
        <f t="shared" si="31"/>
        <v>65.146118939433023</v>
      </c>
      <c r="N679" s="3">
        <v>109.4</v>
      </c>
      <c r="O679" s="5">
        <f t="shared" si="32"/>
        <v>59.548554789244079</v>
      </c>
      <c r="P679" s="2" t="s">
        <v>36</v>
      </c>
    </row>
    <row r="680" spans="1:16" x14ac:dyDescent="0.2">
      <c r="A680" s="2" t="s">
        <v>1053</v>
      </c>
      <c r="B680" s="2" t="s">
        <v>474</v>
      </c>
      <c r="C680" s="2" t="s">
        <v>146</v>
      </c>
      <c r="D680" s="2" t="s">
        <v>19</v>
      </c>
      <c r="E680" s="2" t="s">
        <v>81</v>
      </c>
      <c r="F680" s="2" t="s">
        <v>21</v>
      </c>
      <c r="G680" s="2" t="s">
        <v>35</v>
      </c>
      <c r="H680" s="3">
        <v>12285</v>
      </c>
      <c r="I680" s="4">
        <v>25</v>
      </c>
      <c r="J680" s="5">
        <v>4.3899999999999997</v>
      </c>
      <c r="K680" s="4">
        <v>80</v>
      </c>
      <c r="L680" s="3">
        <f t="shared" si="30"/>
        <v>2456.9999999999995</v>
      </c>
      <c r="M680" s="3">
        <f t="shared" si="31"/>
        <v>54.015407899566441</v>
      </c>
      <c r="N680" s="3">
        <v>148.1</v>
      </c>
      <c r="O680" s="5">
        <f t="shared" si="32"/>
        <v>36.472253814697126</v>
      </c>
      <c r="P680" s="2" t="s">
        <v>69</v>
      </c>
    </row>
    <row r="681" spans="1:16" x14ac:dyDescent="0.2">
      <c r="A681" s="2" t="s">
        <v>1054</v>
      </c>
      <c r="B681" s="2" t="s">
        <v>1055</v>
      </c>
      <c r="C681" s="2" t="s">
        <v>53</v>
      </c>
      <c r="D681" s="2" t="s">
        <v>19</v>
      </c>
      <c r="E681" s="2" t="s">
        <v>41</v>
      </c>
      <c r="F681" s="2" t="s">
        <v>50</v>
      </c>
      <c r="G681" s="2" t="s">
        <v>35</v>
      </c>
      <c r="H681" s="3">
        <v>11590</v>
      </c>
      <c r="I681" s="4">
        <v>20</v>
      </c>
      <c r="J681" s="5">
        <v>5.61</v>
      </c>
      <c r="K681" s="4">
        <v>80</v>
      </c>
      <c r="L681" s="3">
        <f t="shared" si="30"/>
        <v>2317.9999999999995</v>
      </c>
      <c r="M681" s="3">
        <f t="shared" si="31"/>
        <v>64.358331570277954</v>
      </c>
      <c r="N681" s="3">
        <v>199.5</v>
      </c>
      <c r="O681" s="5">
        <f t="shared" si="32"/>
        <v>32.259815323447597</v>
      </c>
      <c r="P681" s="2" t="s">
        <v>36</v>
      </c>
    </row>
    <row r="682" spans="1:16" x14ac:dyDescent="0.2">
      <c r="A682" s="2" t="s">
        <v>1056</v>
      </c>
      <c r="B682" s="2" t="s">
        <v>403</v>
      </c>
      <c r="C682" s="2" t="s">
        <v>91</v>
      </c>
      <c r="D682" s="2" t="s">
        <v>92</v>
      </c>
      <c r="E682" s="2" t="s">
        <v>97</v>
      </c>
      <c r="F682" s="2" t="s">
        <v>59</v>
      </c>
      <c r="G682" s="2" t="s">
        <v>22</v>
      </c>
      <c r="H682" s="3">
        <v>14118</v>
      </c>
      <c r="I682" s="4">
        <v>15</v>
      </c>
      <c r="J682" s="5">
        <v>5.46</v>
      </c>
      <c r="K682" s="4">
        <v>70</v>
      </c>
      <c r="L682" s="3">
        <f t="shared" si="30"/>
        <v>4235.4000000000005</v>
      </c>
      <c r="M682" s="3">
        <f t="shared" si="31"/>
        <v>80.53947338356673</v>
      </c>
      <c r="N682" s="3">
        <v>246.6</v>
      </c>
      <c r="O682" s="5">
        <f t="shared" si="32"/>
        <v>32.659964875736712</v>
      </c>
      <c r="P682" s="2" t="s">
        <v>36</v>
      </c>
    </row>
    <row r="683" spans="1:16" x14ac:dyDescent="0.2">
      <c r="A683" s="2" t="s">
        <v>1057</v>
      </c>
      <c r="B683" s="2" t="s">
        <v>433</v>
      </c>
      <c r="C683" s="2" t="s">
        <v>32</v>
      </c>
      <c r="D683" s="2" t="s">
        <v>32</v>
      </c>
      <c r="E683" s="2" t="s">
        <v>107</v>
      </c>
      <c r="F683" s="2" t="s">
        <v>50</v>
      </c>
      <c r="G683" s="2" t="s">
        <v>44</v>
      </c>
      <c r="H683" s="3">
        <v>4177</v>
      </c>
      <c r="I683" s="4">
        <v>30</v>
      </c>
      <c r="J683" s="5">
        <v>4.6100000000000003</v>
      </c>
      <c r="K683" s="4">
        <v>80</v>
      </c>
      <c r="L683" s="3">
        <f t="shared" si="30"/>
        <v>835.39999999999986</v>
      </c>
      <c r="M683" s="3">
        <f t="shared" si="31"/>
        <v>17.150500342225737</v>
      </c>
      <c r="N683" s="3">
        <v>64.3</v>
      </c>
      <c r="O683" s="5">
        <f t="shared" si="32"/>
        <v>26.672628837054024</v>
      </c>
      <c r="P683" s="2" t="s">
        <v>36</v>
      </c>
    </row>
    <row r="684" spans="1:16" x14ac:dyDescent="0.2">
      <c r="A684" s="2" t="s">
        <v>1058</v>
      </c>
      <c r="B684" s="2" t="s">
        <v>668</v>
      </c>
      <c r="C684" s="2" t="s">
        <v>77</v>
      </c>
      <c r="D684" s="2" t="s">
        <v>19</v>
      </c>
      <c r="E684" s="2" t="s">
        <v>74</v>
      </c>
      <c r="F684" s="2" t="s">
        <v>50</v>
      </c>
      <c r="G684" s="2" t="s">
        <v>35</v>
      </c>
      <c r="H684" s="3">
        <v>16170</v>
      </c>
      <c r="I684" s="4">
        <v>30</v>
      </c>
      <c r="J684" s="5">
        <v>5.69</v>
      </c>
      <c r="K684" s="4">
        <v>85</v>
      </c>
      <c r="L684" s="3">
        <f t="shared" si="30"/>
        <v>2425.5000000000005</v>
      </c>
      <c r="M684" s="3">
        <f t="shared" si="31"/>
        <v>79.686058200558847</v>
      </c>
      <c r="N684" s="3">
        <v>175.6</v>
      </c>
      <c r="O684" s="5">
        <f t="shared" si="32"/>
        <v>45.379304214441255</v>
      </c>
      <c r="P684" s="2" t="s">
        <v>29</v>
      </c>
    </row>
    <row r="685" spans="1:16" x14ac:dyDescent="0.2">
      <c r="A685" s="2" t="s">
        <v>1059</v>
      </c>
      <c r="B685" s="2" t="s">
        <v>55</v>
      </c>
      <c r="C685" s="2" t="s">
        <v>18</v>
      </c>
      <c r="D685" s="2" t="s">
        <v>19</v>
      </c>
      <c r="E685" s="2" t="s">
        <v>156</v>
      </c>
      <c r="F685" s="2" t="s">
        <v>59</v>
      </c>
      <c r="G685" s="2" t="s">
        <v>22</v>
      </c>
      <c r="H685" s="3">
        <v>3807</v>
      </c>
      <c r="I685" s="4">
        <v>25</v>
      </c>
      <c r="J685" s="5">
        <v>5.25</v>
      </c>
      <c r="K685" s="4">
        <v>85</v>
      </c>
      <c r="L685" s="3">
        <f t="shared" si="30"/>
        <v>571.05000000000007</v>
      </c>
      <c r="M685" s="3">
        <f t="shared" si="31"/>
        <v>19.391356439084898</v>
      </c>
      <c r="N685" s="3">
        <v>43</v>
      </c>
      <c r="O685" s="5">
        <f t="shared" si="32"/>
        <v>45.096177765313719</v>
      </c>
      <c r="P685" s="2" t="s">
        <v>36</v>
      </c>
    </row>
    <row r="686" spans="1:16" x14ac:dyDescent="0.2">
      <c r="A686" s="2" t="s">
        <v>1060</v>
      </c>
      <c r="B686" s="2" t="s">
        <v>80</v>
      </c>
      <c r="C686" s="2" t="s">
        <v>142</v>
      </c>
      <c r="D686" s="2" t="s">
        <v>143</v>
      </c>
      <c r="E686" s="2" t="s">
        <v>68</v>
      </c>
      <c r="F686" s="2" t="s">
        <v>28</v>
      </c>
      <c r="G686" s="2" t="s">
        <v>35</v>
      </c>
      <c r="H686" s="3">
        <v>3835</v>
      </c>
      <c r="I686" s="4">
        <v>20</v>
      </c>
      <c r="J686" s="5">
        <v>5.4</v>
      </c>
      <c r="K686" s="4">
        <v>80</v>
      </c>
      <c r="L686" s="3">
        <f t="shared" si="30"/>
        <v>766.99999999999989</v>
      </c>
      <c r="M686" s="3">
        <f t="shared" si="31"/>
        <v>20.931478790746468</v>
      </c>
      <c r="N686" s="3">
        <v>59.9</v>
      </c>
      <c r="O686" s="5">
        <f t="shared" si="32"/>
        <v>34.944038047990766</v>
      </c>
      <c r="P686" s="2" t="s">
        <v>69</v>
      </c>
    </row>
    <row r="687" spans="1:16" x14ac:dyDescent="0.2">
      <c r="A687" s="2" t="s">
        <v>1061</v>
      </c>
      <c r="B687" s="2" t="s">
        <v>617</v>
      </c>
      <c r="C687" s="2" t="s">
        <v>39</v>
      </c>
      <c r="D687" s="2" t="s">
        <v>40</v>
      </c>
      <c r="E687" s="2" t="s">
        <v>114</v>
      </c>
      <c r="F687" s="2" t="s">
        <v>34</v>
      </c>
      <c r="G687" s="2" t="s">
        <v>44</v>
      </c>
      <c r="H687" s="3">
        <v>3287</v>
      </c>
      <c r="I687" s="4">
        <v>20</v>
      </c>
      <c r="J687" s="5">
        <v>4.16</v>
      </c>
      <c r="K687" s="4">
        <v>80</v>
      </c>
      <c r="L687" s="3">
        <f t="shared" si="30"/>
        <v>657.39999999999986</v>
      </c>
      <c r="M687" s="3">
        <f t="shared" si="31"/>
        <v>16.157429576952286</v>
      </c>
      <c r="N687" s="3">
        <v>56</v>
      </c>
      <c r="O687" s="5">
        <f t="shared" si="32"/>
        <v>28.852552815986225</v>
      </c>
      <c r="P687" s="2" t="s">
        <v>36</v>
      </c>
    </row>
    <row r="688" spans="1:16" x14ac:dyDescent="0.2">
      <c r="A688" s="2" t="s">
        <v>1062</v>
      </c>
      <c r="B688" s="2" t="s">
        <v>358</v>
      </c>
      <c r="C688" s="2" t="s">
        <v>146</v>
      </c>
      <c r="D688" s="2" t="s">
        <v>19</v>
      </c>
      <c r="E688" s="2" t="s">
        <v>20</v>
      </c>
      <c r="F688" s="2" t="s">
        <v>28</v>
      </c>
      <c r="G688" s="2" t="s">
        <v>44</v>
      </c>
      <c r="H688" s="3">
        <v>12014</v>
      </c>
      <c r="I688" s="4">
        <v>15</v>
      </c>
      <c r="J688" s="5">
        <v>5.41</v>
      </c>
      <c r="K688" s="4">
        <v>80</v>
      </c>
      <c r="L688" s="3">
        <f t="shared" si="30"/>
        <v>2402.7999999999993</v>
      </c>
      <c r="M688" s="3">
        <f t="shared" si="31"/>
        <v>78.073259789210724</v>
      </c>
      <c r="N688" s="3">
        <v>145.30000000000001</v>
      </c>
      <c r="O688" s="5">
        <f t="shared" si="32"/>
        <v>53.732456840475372</v>
      </c>
      <c r="P688" s="2" t="s">
        <v>23</v>
      </c>
    </row>
    <row r="689" spans="1:16" x14ac:dyDescent="0.2">
      <c r="A689" s="2" t="s">
        <v>1063</v>
      </c>
      <c r="B689" s="2" t="s">
        <v>786</v>
      </c>
      <c r="C689" s="2" t="s">
        <v>91</v>
      </c>
      <c r="D689" s="2" t="s">
        <v>92</v>
      </c>
      <c r="E689" s="2" t="s">
        <v>97</v>
      </c>
      <c r="F689" s="2" t="s">
        <v>59</v>
      </c>
      <c r="G689" s="2" t="s">
        <v>22</v>
      </c>
      <c r="H689" s="3">
        <v>3604</v>
      </c>
      <c r="I689" s="4">
        <v>30</v>
      </c>
      <c r="J689" s="5">
        <v>4.66</v>
      </c>
      <c r="K689" s="4">
        <v>85</v>
      </c>
      <c r="L689" s="3">
        <f t="shared" si="30"/>
        <v>540.60000000000014</v>
      </c>
      <c r="M689" s="3">
        <f t="shared" si="31"/>
        <v>15.814383573975398</v>
      </c>
      <c r="N689" s="3">
        <v>50.4</v>
      </c>
      <c r="O689" s="5">
        <f t="shared" si="32"/>
        <v>31.377745186459123</v>
      </c>
      <c r="P689" s="2" t="s">
        <v>36</v>
      </c>
    </row>
    <row r="690" spans="1:16" x14ac:dyDescent="0.2">
      <c r="A690" s="2" t="s">
        <v>1064</v>
      </c>
      <c r="B690" s="2" t="s">
        <v>1055</v>
      </c>
      <c r="C690" s="2" t="s">
        <v>56</v>
      </c>
      <c r="D690" s="2" t="s">
        <v>57</v>
      </c>
      <c r="E690" s="2" t="s">
        <v>20</v>
      </c>
      <c r="F690" s="2" t="s">
        <v>34</v>
      </c>
      <c r="G690" s="2" t="s">
        <v>22</v>
      </c>
      <c r="H690" s="3">
        <v>4305</v>
      </c>
      <c r="I690" s="4">
        <v>30</v>
      </c>
      <c r="J690" s="5">
        <v>5.12</v>
      </c>
      <c r="K690" s="4">
        <v>70</v>
      </c>
      <c r="L690" s="3">
        <f t="shared" si="30"/>
        <v>1291.5000000000002</v>
      </c>
      <c r="M690" s="3">
        <f t="shared" si="31"/>
        <v>16.398845245427054</v>
      </c>
      <c r="N690" s="3">
        <v>50.8</v>
      </c>
      <c r="O690" s="5">
        <f t="shared" si="32"/>
        <v>32.281191428006011</v>
      </c>
      <c r="P690" s="2" t="s">
        <v>36</v>
      </c>
    </row>
    <row r="691" spans="1:16" x14ac:dyDescent="0.2">
      <c r="A691" s="2" t="s">
        <v>1065</v>
      </c>
      <c r="B691" s="2" t="s">
        <v>375</v>
      </c>
      <c r="C691" s="2" t="s">
        <v>100</v>
      </c>
      <c r="D691" s="2" t="s">
        <v>32</v>
      </c>
      <c r="E691" s="2" t="s">
        <v>97</v>
      </c>
      <c r="F691" s="2" t="s">
        <v>34</v>
      </c>
      <c r="G691" s="2" t="s">
        <v>22</v>
      </c>
      <c r="H691" s="3">
        <v>9278</v>
      </c>
      <c r="I691" s="4">
        <v>25</v>
      </c>
      <c r="J691" s="5">
        <v>4.5599999999999996</v>
      </c>
      <c r="K691" s="4">
        <v>75</v>
      </c>
      <c r="L691" s="3">
        <f t="shared" si="30"/>
        <v>2319.5</v>
      </c>
      <c r="M691" s="3">
        <f t="shared" si="31"/>
        <v>38.914964259087697</v>
      </c>
      <c r="N691" s="3">
        <v>126.9</v>
      </c>
      <c r="O691" s="5">
        <f t="shared" si="32"/>
        <v>30.665850479974544</v>
      </c>
      <c r="P691" s="2" t="s">
        <v>36</v>
      </c>
    </row>
    <row r="692" spans="1:16" x14ac:dyDescent="0.2">
      <c r="A692" s="2" t="s">
        <v>1066</v>
      </c>
      <c r="B692" s="2" t="s">
        <v>31</v>
      </c>
      <c r="C692" s="2" t="s">
        <v>72</v>
      </c>
      <c r="D692" s="2" t="s">
        <v>73</v>
      </c>
      <c r="E692" s="2" t="s">
        <v>107</v>
      </c>
      <c r="F692" s="2" t="s">
        <v>28</v>
      </c>
      <c r="G692" s="2" t="s">
        <v>98</v>
      </c>
      <c r="H692" s="3">
        <v>14206</v>
      </c>
      <c r="I692" s="4">
        <v>25</v>
      </c>
      <c r="J692" s="5">
        <v>4.49</v>
      </c>
      <c r="K692" s="4">
        <v>85</v>
      </c>
      <c r="L692" s="3">
        <f t="shared" si="30"/>
        <v>2130.9</v>
      </c>
      <c r="M692" s="3">
        <f t="shared" si="31"/>
        <v>67.048807330061763</v>
      </c>
      <c r="N692" s="3">
        <v>153.5</v>
      </c>
      <c r="O692" s="5">
        <f t="shared" si="32"/>
        <v>43.680004775284537</v>
      </c>
      <c r="P692" s="2" t="s">
        <v>36</v>
      </c>
    </row>
    <row r="693" spans="1:16" x14ac:dyDescent="0.2">
      <c r="A693" s="2" t="s">
        <v>1067</v>
      </c>
      <c r="B693" s="2" t="s">
        <v>526</v>
      </c>
      <c r="C693" s="2" t="s">
        <v>47</v>
      </c>
      <c r="D693" s="2" t="s">
        <v>48</v>
      </c>
      <c r="E693" s="2" t="s">
        <v>114</v>
      </c>
      <c r="F693" s="2" t="s">
        <v>21</v>
      </c>
      <c r="G693" s="2" t="s">
        <v>44</v>
      </c>
      <c r="H693" s="3">
        <v>16879</v>
      </c>
      <c r="I693" s="4">
        <v>25</v>
      </c>
      <c r="J693" s="5">
        <v>4.3899999999999997</v>
      </c>
      <c r="K693" s="4">
        <v>85</v>
      </c>
      <c r="L693" s="3">
        <f t="shared" si="30"/>
        <v>2531.8500000000004</v>
      </c>
      <c r="M693" s="3">
        <f t="shared" si="31"/>
        <v>78.852987326644751</v>
      </c>
      <c r="N693" s="3">
        <v>208.4</v>
      </c>
      <c r="O693" s="5">
        <f t="shared" si="32"/>
        <v>37.837325972478283</v>
      </c>
      <c r="P693" s="2" t="s">
        <v>69</v>
      </c>
    </row>
    <row r="694" spans="1:16" x14ac:dyDescent="0.2">
      <c r="A694" s="2" t="s">
        <v>1068</v>
      </c>
      <c r="B694" s="2" t="s">
        <v>255</v>
      </c>
      <c r="C694" s="2" t="s">
        <v>62</v>
      </c>
      <c r="D694" s="2" t="s">
        <v>63</v>
      </c>
      <c r="E694" s="2" t="s">
        <v>20</v>
      </c>
      <c r="F694" s="2" t="s">
        <v>21</v>
      </c>
      <c r="G694" s="2" t="s">
        <v>98</v>
      </c>
      <c r="H694" s="3">
        <v>11138</v>
      </c>
      <c r="I694" s="4">
        <v>15</v>
      </c>
      <c r="J694" s="5">
        <v>5.31</v>
      </c>
      <c r="K694" s="4">
        <v>90</v>
      </c>
      <c r="L694" s="3">
        <f t="shared" si="30"/>
        <v>1113.7999999999997</v>
      </c>
      <c r="M694" s="3">
        <f t="shared" si="31"/>
        <v>80.898905359340787</v>
      </c>
      <c r="N694" s="3">
        <v>153.9</v>
      </c>
      <c r="O694" s="5">
        <f t="shared" si="32"/>
        <v>52.565890421923832</v>
      </c>
      <c r="P694" s="2" t="s">
        <v>23</v>
      </c>
    </row>
    <row r="695" spans="1:16" x14ac:dyDescent="0.2">
      <c r="A695" s="2" t="s">
        <v>1069</v>
      </c>
      <c r="B695" s="2" t="s">
        <v>474</v>
      </c>
      <c r="C695" s="2" t="s">
        <v>56</v>
      </c>
      <c r="D695" s="2" t="s">
        <v>57</v>
      </c>
      <c r="E695" s="2" t="s">
        <v>78</v>
      </c>
      <c r="F695" s="2" t="s">
        <v>59</v>
      </c>
      <c r="G695" s="2" t="s">
        <v>44</v>
      </c>
      <c r="H695" s="3">
        <v>3491</v>
      </c>
      <c r="I695" s="4">
        <v>30</v>
      </c>
      <c r="J695" s="5">
        <v>5.4</v>
      </c>
      <c r="K695" s="4">
        <v>80</v>
      </c>
      <c r="L695" s="3">
        <f t="shared" si="30"/>
        <v>698.19999999999982</v>
      </c>
      <c r="M695" s="3">
        <f t="shared" si="31"/>
        <v>15.682431955334591</v>
      </c>
      <c r="N695" s="3">
        <v>45.1</v>
      </c>
      <c r="O695" s="5">
        <f t="shared" si="32"/>
        <v>34.772576397637671</v>
      </c>
      <c r="P695" s="2" t="s">
        <v>36</v>
      </c>
    </row>
    <row r="696" spans="1:16" x14ac:dyDescent="0.2">
      <c r="A696" s="2" t="s">
        <v>1070</v>
      </c>
      <c r="B696" s="2" t="s">
        <v>1002</v>
      </c>
      <c r="C696" s="2" t="s">
        <v>62</v>
      </c>
      <c r="D696" s="2" t="s">
        <v>63</v>
      </c>
      <c r="E696" s="2" t="s">
        <v>177</v>
      </c>
      <c r="F696" s="2" t="s">
        <v>21</v>
      </c>
      <c r="G696" s="2" t="s">
        <v>22</v>
      </c>
      <c r="H696" s="3">
        <v>4181</v>
      </c>
      <c r="I696" s="4">
        <v>25</v>
      </c>
      <c r="J696" s="5">
        <v>5.38</v>
      </c>
      <c r="K696" s="4">
        <v>70</v>
      </c>
      <c r="L696" s="3">
        <f t="shared" si="30"/>
        <v>1254.3000000000002</v>
      </c>
      <c r="M696" s="3">
        <f t="shared" si="31"/>
        <v>17.763367380987905</v>
      </c>
      <c r="N696" s="3">
        <v>70.099999999999994</v>
      </c>
      <c r="O696" s="5">
        <f t="shared" si="32"/>
        <v>25.340039059897158</v>
      </c>
      <c r="P696" s="2" t="s">
        <v>36</v>
      </c>
    </row>
    <row r="697" spans="1:16" x14ac:dyDescent="0.2">
      <c r="A697" s="2" t="s">
        <v>1071</v>
      </c>
      <c r="B697" s="2" t="s">
        <v>379</v>
      </c>
      <c r="C697" s="2" t="s">
        <v>91</v>
      </c>
      <c r="D697" s="2" t="s">
        <v>92</v>
      </c>
      <c r="E697" s="2" t="s">
        <v>107</v>
      </c>
      <c r="F697" s="2" t="s">
        <v>28</v>
      </c>
      <c r="G697" s="2" t="s">
        <v>35</v>
      </c>
      <c r="H697" s="3">
        <v>12501</v>
      </c>
      <c r="I697" s="4">
        <v>30</v>
      </c>
      <c r="J697" s="5">
        <v>5</v>
      </c>
      <c r="K697" s="4">
        <v>80</v>
      </c>
      <c r="L697" s="3">
        <f t="shared" si="30"/>
        <v>2500.1999999999994</v>
      </c>
      <c r="M697" s="3">
        <f t="shared" si="31"/>
        <v>53.686456874198001</v>
      </c>
      <c r="N697" s="3">
        <v>167.4</v>
      </c>
      <c r="O697" s="5">
        <f t="shared" si="32"/>
        <v>32.070762768338113</v>
      </c>
      <c r="P697" s="2" t="s">
        <v>69</v>
      </c>
    </row>
    <row r="698" spans="1:16" x14ac:dyDescent="0.2">
      <c r="A698" s="2" t="s">
        <v>1072</v>
      </c>
      <c r="B698" s="2" t="s">
        <v>158</v>
      </c>
      <c r="C698" s="2" t="s">
        <v>77</v>
      </c>
      <c r="D698" s="2" t="s">
        <v>19</v>
      </c>
      <c r="E698" s="2" t="s">
        <v>41</v>
      </c>
      <c r="F698" s="2" t="s">
        <v>34</v>
      </c>
      <c r="G698" s="2" t="s">
        <v>44</v>
      </c>
      <c r="H698" s="3">
        <v>5587</v>
      </c>
      <c r="I698" s="4">
        <v>30</v>
      </c>
      <c r="J698" s="5">
        <v>4.03</v>
      </c>
      <c r="K698" s="4">
        <v>75</v>
      </c>
      <c r="L698" s="3">
        <f t="shared" si="30"/>
        <v>1396.75</v>
      </c>
      <c r="M698" s="3">
        <f t="shared" si="31"/>
        <v>20.077434180845419</v>
      </c>
      <c r="N698" s="3">
        <v>61.4</v>
      </c>
      <c r="O698" s="5">
        <f t="shared" si="32"/>
        <v>32.699404203331298</v>
      </c>
      <c r="P698" s="2" t="s">
        <v>69</v>
      </c>
    </row>
    <row r="699" spans="1:16" x14ac:dyDescent="0.2">
      <c r="A699" s="2" t="s">
        <v>1073</v>
      </c>
      <c r="B699" s="2" t="s">
        <v>912</v>
      </c>
      <c r="C699" s="2" t="s">
        <v>62</v>
      </c>
      <c r="D699" s="2" t="s">
        <v>63</v>
      </c>
      <c r="E699" s="2" t="s">
        <v>88</v>
      </c>
      <c r="F699" s="2" t="s">
        <v>21</v>
      </c>
      <c r="G699" s="2" t="s">
        <v>98</v>
      </c>
      <c r="H699" s="3">
        <v>1630</v>
      </c>
      <c r="I699" s="4">
        <v>20</v>
      </c>
      <c r="J699" s="5">
        <v>3.97</v>
      </c>
      <c r="K699" s="4">
        <v>80</v>
      </c>
      <c r="L699" s="3">
        <f t="shared" si="30"/>
        <v>325.99999999999994</v>
      </c>
      <c r="M699" s="3">
        <f t="shared" si="31"/>
        <v>7.8813851444410643</v>
      </c>
      <c r="N699" s="3">
        <v>22.8</v>
      </c>
      <c r="O699" s="5">
        <f t="shared" si="32"/>
        <v>34.567478703688877</v>
      </c>
      <c r="P699" s="2" t="s">
        <v>69</v>
      </c>
    </row>
    <row r="700" spans="1:16" x14ac:dyDescent="0.2">
      <c r="A700" s="2" t="s">
        <v>1074</v>
      </c>
      <c r="B700" s="2" t="s">
        <v>1075</v>
      </c>
      <c r="C700" s="2" t="s">
        <v>91</v>
      </c>
      <c r="D700" s="2" t="s">
        <v>92</v>
      </c>
      <c r="E700" s="2" t="s">
        <v>64</v>
      </c>
      <c r="F700" s="2" t="s">
        <v>59</v>
      </c>
      <c r="G700" s="2" t="s">
        <v>98</v>
      </c>
      <c r="H700" s="3">
        <v>9426</v>
      </c>
      <c r="I700" s="4">
        <v>25</v>
      </c>
      <c r="J700" s="5">
        <v>4.62</v>
      </c>
      <c r="K700" s="4">
        <v>85</v>
      </c>
      <c r="L700" s="3">
        <f t="shared" si="30"/>
        <v>1413.9000000000003</v>
      </c>
      <c r="M700" s="3">
        <f t="shared" si="31"/>
        <v>45.081331448569188</v>
      </c>
      <c r="N700" s="3">
        <v>128.9</v>
      </c>
      <c r="O700" s="5">
        <f t="shared" si="32"/>
        <v>34.973880099743354</v>
      </c>
      <c r="P700" s="2" t="s">
        <v>69</v>
      </c>
    </row>
    <row r="701" spans="1:16" x14ac:dyDescent="0.2">
      <c r="A701" s="2" t="s">
        <v>1076</v>
      </c>
      <c r="B701" s="2" t="s">
        <v>390</v>
      </c>
      <c r="C701" s="2" t="s">
        <v>39</v>
      </c>
      <c r="D701" s="2" t="s">
        <v>40</v>
      </c>
      <c r="E701" s="2" t="s">
        <v>20</v>
      </c>
      <c r="F701" s="2" t="s">
        <v>59</v>
      </c>
      <c r="G701" s="2" t="s">
        <v>44</v>
      </c>
      <c r="H701" s="3">
        <v>11460</v>
      </c>
      <c r="I701" s="4">
        <v>25</v>
      </c>
      <c r="J701" s="5">
        <v>4.47</v>
      </c>
      <c r="K701" s="4">
        <v>75</v>
      </c>
      <c r="L701" s="3">
        <f t="shared" si="30"/>
        <v>2865</v>
      </c>
      <c r="M701" s="3">
        <f t="shared" si="31"/>
        <v>47.6275630245282</v>
      </c>
      <c r="N701" s="3">
        <v>188.7</v>
      </c>
      <c r="O701" s="5">
        <f t="shared" si="32"/>
        <v>25.239832021477586</v>
      </c>
      <c r="P701" s="2" t="s">
        <v>69</v>
      </c>
    </row>
    <row r="702" spans="1:16" x14ac:dyDescent="0.2">
      <c r="A702" s="2" t="s">
        <v>1077</v>
      </c>
      <c r="B702" s="2" t="s">
        <v>435</v>
      </c>
      <c r="C702" s="2" t="s">
        <v>91</v>
      </c>
      <c r="D702" s="2" t="s">
        <v>92</v>
      </c>
      <c r="E702" s="2" t="s">
        <v>156</v>
      </c>
      <c r="F702" s="2" t="s">
        <v>50</v>
      </c>
      <c r="G702" s="2" t="s">
        <v>22</v>
      </c>
      <c r="H702" s="3">
        <v>11199</v>
      </c>
      <c r="I702" s="4">
        <v>30</v>
      </c>
      <c r="J702" s="5">
        <v>4.9000000000000004</v>
      </c>
      <c r="K702" s="4">
        <v>80</v>
      </c>
      <c r="L702" s="3">
        <f t="shared" si="30"/>
        <v>2239.7999999999997</v>
      </c>
      <c r="M702" s="3">
        <f t="shared" si="31"/>
        <v>47.548868354038895</v>
      </c>
      <c r="N702" s="3">
        <v>139.5</v>
      </c>
      <c r="O702" s="5">
        <f t="shared" si="32"/>
        <v>34.085210289633615</v>
      </c>
      <c r="P702" s="2" t="s">
        <v>36</v>
      </c>
    </row>
    <row r="703" spans="1:16" x14ac:dyDescent="0.2">
      <c r="A703" s="2" t="s">
        <v>1078</v>
      </c>
      <c r="B703" s="2" t="s">
        <v>506</v>
      </c>
      <c r="C703" s="2" t="s">
        <v>53</v>
      </c>
      <c r="D703" s="2" t="s">
        <v>19</v>
      </c>
      <c r="E703" s="2" t="s">
        <v>177</v>
      </c>
      <c r="F703" s="2" t="s">
        <v>34</v>
      </c>
      <c r="G703" s="2" t="s">
        <v>44</v>
      </c>
      <c r="H703" s="3">
        <v>14201</v>
      </c>
      <c r="I703" s="4">
        <v>25</v>
      </c>
      <c r="J703" s="5">
        <v>5.04</v>
      </c>
      <c r="K703" s="4">
        <v>90</v>
      </c>
      <c r="L703" s="3">
        <f t="shared" si="30"/>
        <v>1420.0999999999997</v>
      </c>
      <c r="M703" s="3">
        <f t="shared" si="31"/>
        <v>75.014030436744179</v>
      </c>
      <c r="N703" s="3">
        <v>220.6</v>
      </c>
      <c r="O703" s="5">
        <f t="shared" si="32"/>
        <v>34.004546888823292</v>
      </c>
      <c r="P703" s="2" t="s">
        <v>36</v>
      </c>
    </row>
    <row r="704" spans="1:16" x14ac:dyDescent="0.2">
      <c r="A704" s="2" t="s">
        <v>1079</v>
      </c>
      <c r="B704" s="2" t="s">
        <v>388</v>
      </c>
      <c r="C704" s="2" t="s">
        <v>18</v>
      </c>
      <c r="D704" s="2" t="s">
        <v>19</v>
      </c>
      <c r="E704" s="2" t="s">
        <v>64</v>
      </c>
      <c r="F704" s="2" t="s">
        <v>34</v>
      </c>
      <c r="G704" s="2" t="s">
        <v>35</v>
      </c>
      <c r="H704" s="3">
        <v>6716</v>
      </c>
      <c r="I704" s="4">
        <v>25</v>
      </c>
      <c r="J704" s="5">
        <v>5.12</v>
      </c>
      <c r="K704" s="4">
        <v>80</v>
      </c>
      <c r="L704" s="3">
        <f t="shared" si="30"/>
        <v>1343.1999999999996</v>
      </c>
      <c r="M704" s="3">
        <f t="shared" si="31"/>
        <v>31.785635971935069</v>
      </c>
      <c r="N704" s="3">
        <v>120.3</v>
      </c>
      <c r="O704" s="5">
        <f t="shared" si="32"/>
        <v>26.421975039015024</v>
      </c>
      <c r="P704" s="2" t="s">
        <v>36</v>
      </c>
    </row>
    <row r="705" spans="1:16" x14ac:dyDescent="0.2">
      <c r="A705" s="2" t="s">
        <v>1080</v>
      </c>
      <c r="B705" s="2" t="s">
        <v>684</v>
      </c>
      <c r="C705" s="2" t="s">
        <v>18</v>
      </c>
      <c r="D705" s="2" t="s">
        <v>19</v>
      </c>
      <c r="E705" s="2" t="s">
        <v>58</v>
      </c>
      <c r="F705" s="2" t="s">
        <v>50</v>
      </c>
      <c r="G705" s="2" t="s">
        <v>22</v>
      </c>
      <c r="H705" s="3">
        <v>12138</v>
      </c>
      <c r="I705" s="4">
        <v>20</v>
      </c>
      <c r="J705" s="5">
        <v>4.9400000000000004</v>
      </c>
      <c r="K705" s="4">
        <v>80</v>
      </c>
      <c r="L705" s="3">
        <f t="shared" si="30"/>
        <v>2427.5999999999995</v>
      </c>
      <c r="M705" s="3">
        <f t="shared" si="31"/>
        <v>63.762925733135845</v>
      </c>
      <c r="N705" s="3">
        <v>143.4</v>
      </c>
      <c r="O705" s="5">
        <f t="shared" si="32"/>
        <v>44.465080706510349</v>
      </c>
      <c r="P705" s="2" t="s">
        <v>36</v>
      </c>
    </row>
    <row r="706" spans="1:16" x14ac:dyDescent="0.2">
      <c r="A706" s="2" t="s">
        <v>1081</v>
      </c>
      <c r="B706" s="2" t="s">
        <v>222</v>
      </c>
      <c r="C706" s="2" t="s">
        <v>62</v>
      </c>
      <c r="D706" s="2" t="s">
        <v>63</v>
      </c>
      <c r="E706" s="2" t="s">
        <v>78</v>
      </c>
      <c r="F706" s="2" t="s">
        <v>59</v>
      </c>
      <c r="G706" s="2" t="s">
        <v>98</v>
      </c>
      <c r="H706" s="3">
        <v>5612</v>
      </c>
      <c r="I706" s="4">
        <v>30</v>
      </c>
      <c r="J706" s="5">
        <v>5.51</v>
      </c>
      <c r="K706" s="4">
        <v>75</v>
      </c>
      <c r="L706" s="3">
        <f t="shared" ref="L706:L769" si="33">H706*(1-K706/100)</f>
        <v>1403</v>
      </c>
      <c r="M706" s="3">
        <f t="shared" ref="M706:M769" si="34">PMT(J706/100/12, I706*12, -(H706*K706/100))</f>
        <v>23.924653625147521</v>
      </c>
      <c r="N706" s="3">
        <v>75</v>
      </c>
      <c r="O706" s="5">
        <f t="shared" ref="O706:O769" si="35">IFERROR(M706/N706*100,0)</f>
        <v>31.899538166863362</v>
      </c>
      <c r="P706" s="2" t="s">
        <v>36</v>
      </c>
    </row>
    <row r="707" spans="1:16" x14ac:dyDescent="0.2">
      <c r="A707" s="2" t="s">
        <v>1082</v>
      </c>
      <c r="B707" s="2" t="s">
        <v>124</v>
      </c>
      <c r="C707" s="2" t="s">
        <v>53</v>
      </c>
      <c r="D707" s="2" t="s">
        <v>19</v>
      </c>
      <c r="E707" s="2" t="s">
        <v>41</v>
      </c>
      <c r="F707" s="2" t="s">
        <v>59</v>
      </c>
      <c r="G707" s="2" t="s">
        <v>98</v>
      </c>
      <c r="H707" s="3">
        <v>14526</v>
      </c>
      <c r="I707" s="4">
        <v>20</v>
      </c>
      <c r="J707" s="5">
        <v>4.95</v>
      </c>
      <c r="K707" s="4">
        <v>80</v>
      </c>
      <c r="L707" s="3">
        <f t="shared" si="33"/>
        <v>2905.1999999999994</v>
      </c>
      <c r="M707" s="3">
        <f t="shared" si="34"/>
        <v>76.371521251227122</v>
      </c>
      <c r="N707" s="3">
        <v>177.2</v>
      </c>
      <c r="O707" s="5">
        <f t="shared" si="35"/>
        <v>43.09905262484601</v>
      </c>
      <c r="P707" s="2" t="s">
        <v>36</v>
      </c>
    </row>
    <row r="708" spans="1:16" x14ac:dyDescent="0.2">
      <c r="A708" s="2" t="s">
        <v>1083</v>
      </c>
      <c r="B708" s="2" t="s">
        <v>632</v>
      </c>
      <c r="C708" s="2" t="s">
        <v>67</v>
      </c>
      <c r="D708" s="2" t="s">
        <v>67</v>
      </c>
      <c r="E708" s="2" t="s">
        <v>68</v>
      </c>
      <c r="F708" s="2" t="s">
        <v>28</v>
      </c>
      <c r="G708" s="2" t="s">
        <v>44</v>
      </c>
      <c r="H708" s="3">
        <v>6495</v>
      </c>
      <c r="I708" s="4">
        <v>30</v>
      </c>
      <c r="J708" s="5">
        <v>5.29</v>
      </c>
      <c r="K708" s="4">
        <v>80</v>
      </c>
      <c r="L708" s="3">
        <f t="shared" si="33"/>
        <v>1298.9999999999998</v>
      </c>
      <c r="M708" s="3">
        <f t="shared" si="34"/>
        <v>28.821370964781149</v>
      </c>
      <c r="N708" s="3">
        <v>115.1</v>
      </c>
      <c r="O708" s="5">
        <f t="shared" si="35"/>
        <v>25.040287545422373</v>
      </c>
      <c r="P708" s="2" t="s">
        <v>36</v>
      </c>
    </row>
    <row r="709" spans="1:16" x14ac:dyDescent="0.2">
      <c r="A709" s="2" t="s">
        <v>1084</v>
      </c>
      <c r="B709" s="2" t="s">
        <v>83</v>
      </c>
      <c r="C709" s="2" t="s">
        <v>32</v>
      </c>
      <c r="D709" s="2" t="s">
        <v>32</v>
      </c>
      <c r="E709" s="2" t="s">
        <v>107</v>
      </c>
      <c r="F709" s="2" t="s">
        <v>21</v>
      </c>
      <c r="G709" s="2" t="s">
        <v>98</v>
      </c>
      <c r="H709" s="3">
        <v>16548</v>
      </c>
      <c r="I709" s="4">
        <v>30</v>
      </c>
      <c r="J709" s="5">
        <v>5.29</v>
      </c>
      <c r="K709" s="4">
        <v>70</v>
      </c>
      <c r="L709" s="3">
        <f t="shared" si="33"/>
        <v>4964.4000000000005</v>
      </c>
      <c r="M709" s="3">
        <f t="shared" si="34"/>
        <v>64.252354254741903</v>
      </c>
      <c r="N709" s="3">
        <v>200.7</v>
      </c>
      <c r="O709" s="5">
        <f t="shared" si="35"/>
        <v>32.014127680489239</v>
      </c>
      <c r="P709" s="2" t="s">
        <v>69</v>
      </c>
    </row>
    <row r="710" spans="1:16" x14ac:dyDescent="0.2">
      <c r="A710" s="2" t="s">
        <v>1085</v>
      </c>
      <c r="B710" s="2" t="s">
        <v>168</v>
      </c>
      <c r="C710" s="2" t="s">
        <v>72</v>
      </c>
      <c r="D710" s="2" t="s">
        <v>73</v>
      </c>
      <c r="E710" s="2" t="s">
        <v>156</v>
      </c>
      <c r="F710" s="2" t="s">
        <v>50</v>
      </c>
      <c r="G710" s="2" t="s">
        <v>35</v>
      </c>
      <c r="H710" s="3">
        <v>8694</v>
      </c>
      <c r="I710" s="4">
        <v>20</v>
      </c>
      <c r="J710" s="5">
        <v>5.26</v>
      </c>
      <c r="K710" s="4">
        <v>90</v>
      </c>
      <c r="L710" s="3">
        <f t="shared" si="33"/>
        <v>869.39999999999986</v>
      </c>
      <c r="M710" s="3">
        <f t="shared" si="34"/>
        <v>52.769331843597477</v>
      </c>
      <c r="N710" s="3">
        <v>104.9</v>
      </c>
      <c r="O710" s="5">
        <f t="shared" si="35"/>
        <v>50.304415484840305</v>
      </c>
      <c r="P710" s="2" t="s">
        <v>36</v>
      </c>
    </row>
    <row r="711" spans="1:16" x14ac:dyDescent="0.2">
      <c r="A711" s="2" t="s">
        <v>1086</v>
      </c>
      <c r="B711" s="2" t="s">
        <v>61</v>
      </c>
      <c r="C711" s="2" t="s">
        <v>32</v>
      </c>
      <c r="D711" s="2" t="s">
        <v>32</v>
      </c>
      <c r="E711" s="2" t="s">
        <v>74</v>
      </c>
      <c r="F711" s="2" t="s">
        <v>50</v>
      </c>
      <c r="G711" s="2" t="s">
        <v>22</v>
      </c>
      <c r="H711" s="3">
        <v>16841</v>
      </c>
      <c r="I711" s="4">
        <v>20</v>
      </c>
      <c r="J711" s="5">
        <v>4.24</v>
      </c>
      <c r="K711" s="4">
        <v>70</v>
      </c>
      <c r="L711" s="3">
        <f t="shared" si="33"/>
        <v>5052.3000000000011</v>
      </c>
      <c r="M711" s="3">
        <f t="shared" si="34"/>
        <v>72.936829259861128</v>
      </c>
      <c r="N711" s="3">
        <v>181.1</v>
      </c>
      <c r="O711" s="5">
        <f t="shared" si="35"/>
        <v>40.274339734876385</v>
      </c>
      <c r="P711" s="2" t="s">
        <v>36</v>
      </c>
    </row>
    <row r="712" spans="1:16" x14ac:dyDescent="0.2">
      <c r="A712" s="2" t="s">
        <v>1087</v>
      </c>
      <c r="B712" s="2" t="s">
        <v>403</v>
      </c>
      <c r="C712" s="2" t="s">
        <v>142</v>
      </c>
      <c r="D712" s="2" t="s">
        <v>143</v>
      </c>
      <c r="E712" s="2" t="s">
        <v>74</v>
      </c>
      <c r="F712" s="2" t="s">
        <v>50</v>
      </c>
      <c r="G712" s="2" t="s">
        <v>98</v>
      </c>
      <c r="H712" s="3">
        <v>16466</v>
      </c>
      <c r="I712" s="4">
        <v>20</v>
      </c>
      <c r="J712" s="5">
        <v>4.32</v>
      </c>
      <c r="K712" s="4">
        <v>80</v>
      </c>
      <c r="L712" s="3">
        <f t="shared" si="33"/>
        <v>3293.1999999999994</v>
      </c>
      <c r="M712" s="3">
        <f t="shared" si="34"/>
        <v>82.063184650493952</v>
      </c>
      <c r="N712" s="3">
        <v>183.1</v>
      </c>
      <c r="O712" s="5">
        <f t="shared" si="35"/>
        <v>44.818779164660818</v>
      </c>
      <c r="P712" s="2" t="s">
        <v>69</v>
      </c>
    </row>
    <row r="713" spans="1:16" x14ac:dyDescent="0.2">
      <c r="A713" s="2" t="s">
        <v>1088</v>
      </c>
      <c r="B713" s="2" t="s">
        <v>87</v>
      </c>
      <c r="C713" s="2" t="s">
        <v>67</v>
      </c>
      <c r="D713" s="2" t="s">
        <v>67</v>
      </c>
      <c r="E713" s="2" t="s">
        <v>49</v>
      </c>
      <c r="F713" s="2" t="s">
        <v>21</v>
      </c>
      <c r="G713" s="2" t="s">
        <v>44</v>
      </c>
      <c r="H713" s="3">
        <v>3491</v>
      </c>
      <c r="I713" s="4">
        <v>25</v>
      </c>
      <c r="J713" s="5">
        <v>4.92</v>
      </c>
      <c r="K713" s="4">
        <v>75</v>
      </c>
      <c r="L713" s="3">
        <f t="shared" si="33"/>
        <v>872.75</v>
      </c>
      <c r="M713" s="3">
        <f t="shared" si="34"/>
        <v>15.184240314782093</v>
      </c>
      <c r="N713" s="3">
        <v>37.200000000000003</v>
      </c>
      <c r="O713" s="5">
        <f t="shared" si="35"/>
        <v>40.817850308554007</v>
      </c>
      <c r="P713" s="2" t="s">
        <v>69</v>
      </c>
    </row>
    <row r="714" spans="1:16" x14ac:dyDescent="0.2">
      <c r="A714" s="2" t="s">
        <v>1089</v>
      </c>
      <c r="B714" s="2" t="s">
        <v>228</v>
      </c>
      <c r="C714" s="2" t="s">
        <v>131</v>
      </c>
      <c r="D714" s="2" t="s">
        <v>27</v>
      </c>
      <c r="E714" s="2" t="s">
        <v>58</v>
      </c>
      <c r="F714" s="2" t="s">
        <v>59</v>
      </c>
      <c r="G714" s="2" t="s">
        <v>98</v>
      </c>
      <c r="H714" s="3">
        <v>7429</v>
      </c>
      <c r="I714" s="4">
        <v>20</v>
      </c>
      <c r="J714" s="5">
        <v>5.15</v>
      </c>
      <c r="K714" s="4">
        <v>75</v>
      </c>
      <c r="L714" s="3">
        <f t="shared" si="33"/>
        <v>1857.25</v>
      </c>
      <c r="M714" s="3">
        <f t="shared" si="34"/>
        <v>37.2343414610663</v>
      </c>
      <c r="N714" s="3">
        <v>125.4</v>
      </c>
      <c r="O714" s="5">
        <f t="shared" si="35"/>
        <v>29.692457305475518</v>
      </c>
      <c r="P714" s="2" t="s">
        <v>36</v>
      </c>
    </row>
    <row r="715" spans="1:16" x14ac:dyDescent="0.2">
      <c r="A715" s="2" t="s">
        <v>1090</v>
      </c>
      <c r="B715" s="2" t="s">
        <v>340</v>
      </c>
      <c r="C715" s="2" t="s">
        <v>131</v>
      </c>
      <c r="D715" s="2" t="s">
        <v>27</v>
      </c>
      <c r="E715" s="2" t="s">
        <v>41</v>
      </c>
      <c r="F715" s="2" t="s">
        <v>28</v>
      </c>
      <c r="G715" s="2" t="s">
        <v>98</v>
      </c>
      <c r="H715" s="3">
        <v>12309</v>
      </c>
      <c r="I715" s="4">
        <v>30</v>
      </c>
      <c r="J715" s="5">
        <v>4.58</v>
      </c>
      <c r="K715" s="4">
        <v>80</v>
      </c>
      <c r="L715" s="3">
        <f t="shared" si="33"/>
        <v>2461.7999999999993</v>
      </c>
      <c r="M715" s="3">
        <f t="shared" si="34"/>
        <v>50.363484412972895</v>
      </c>
      <c r="N715" s="3">
        <v>173.4</v>
      </c>
      <c r="O715" s="5">
        <f t="shared" si="35"/>
        <v>29.044685359269256</v>
      </c>
      <c r="P715" s="2" t="s">
        <v>36</v>
      </c>
    </row>
    <row r="716" spans="1:16" x14ac:dyDescent="0.2">
      <c r="A716" s="2" t="s">
        <v>1091</v>
      </c>
      <c r="B716" s="2" t="s">
        <v>116</v>
      </c>
      <c r="C716" s="2" t="s">
        <v>26</v>
      </c>
      <c r="D716" s="2" t="s">
        <v>27</v>
      </c>
      <c r="E716" s="2" t="s">
        <v>41</v>
      </c>
      <c r="F716" s="2" t="s">
        <v>34</v>
      </c>
      <c r="G716" s="2" t="s">
        <v>98</v>
      </c>
      <c r="H716" s="3">
        <v>5752</v>
      </c>
      <c r="I716" s="4">
        <v>15</v>
      </c>
      <c r="J716" s="5">
        <v>5.0199999999999996</v>
      </c>
      <c r="K716" s="4">
        <v>80</v>
      </c>
      <c r="L716" s="3">
        <f t="shared" si="33"/>
        <v>1150.3999999999996</v>
      </c>
      <c r="M716" s="3">
        <f t="shared" si="34"/>
        <v>36.437118922043119</v>
      </c>
      <c r="N716" s="3">
        <v>79</v>
      </c>
      <c r="O716" s="5">
        <f t="shared" si="35"/>
        <v>46.122935344358382</v>
      </c>
      <c r="P716" s="2" t="s">
        <v>36</v>
      </c>
    </row>
    <row r="717" spans="1:16" x14ac:dyDescent="0.2">
      <c r="A717" s="2" t="s">
        <v>1092</v>
      </c>
      <c r="B717" s="2" t="s">
        <v>185</v>
      </c>
      <c r="C717" s="2" t="s">
        <v>142</v>
      </c>
      <c r="D717" s="2" t="s">
        <v>143</v>
      </c>
      <c r="E717" s="2" t="s">
        <v>78</v>
      </c>
      <c r="F717" s="2" t="s">
        <v>34</v>
      </c>
      <c r="G717" s="2" t="s">
        <v>98</v>
      </c>
      <c r="H717" s="3">
        <v>16885</v>
      </c>
      <c r="I717" s="4">
        <v>15</v>
      </c>
      <c r="J717" s="5">
        <v>5.24</v>
      </c>
      <c r="K717" s="4">
        <v>75</v>
      </c>
      <c r="L717" s="3">
        <f t="shared" si="33"/>
        <v>4221.25</v>
      </c>
      <c r="M717" s="3">
        <f t="shared" si="34"/>
        <v>101.73449032618078</v>
      </c>
      <c r="N717" s="3">
        <v>298.5</v>
      </c>
      <c r="O717" s="5">
        <f t="shared" si="35"/>
        <v>34.081906306928232</v>
      </c>
      <c r="P717" s="2" t="s">
        <v>69</v>
      </c>
    </row>
    <row r="718" spans="1:16" x14ac:dyDescent="0.2">
      <c r="A718" s="2" t="s">
        <v>1093</v>
      </c>
      <c r="B718" s="2" t="s">
        <v>1094</v>
      </c>
      <c r="C718" s="2" t="s">
        <v>142</v>
      </c>
      <c r="D718" s="2" t="s">
        <v>143</v>
      </c>
      <c r="E718" s="2" t="s">
        <v>156</v>
      </c>
      <c r="F718" s="2" t="s">
        <v>34</v>
      </c>
      <c r="G718" s="2" t="s">
        <v>35</v>
      </c>
      <c r="H718" s="3">
        <v>11829</v>
      </c>
      <c r="I718" s="4">
        <v>30</v>
      </c>
      <c r="J718" s="5">
        <v>5.42</v>
      </c>
      <c r="K718" s="4">
        <v>80</v>
      </c>
      <c r="L718" s="3">
        <f t="shared" si="33"/>
        <v>2365.7999999999993</v>
      </c>
      <c r="M718" s="3">
        <f t="shared" si="34"/>
        <v>53.256985390367788</v>
      </c>
      <c r="N718" s="3">
        <v>130.6</v>
      </c>
      <c r="O718" s="5">
        <f t="shared" si="35"/>
        <v>40.77870244285436</v>
      </c>
      <c r="P718" s="2" t="s">
        <v>36</v>
      </c>
    </row>
    <row r="719" spans="1:16" x14ac:dyDescent="0.2">
      <c r="A719" s="2" t="s">
        <v>1095</v>
      </c>
      <c r="B719" s="2" t="s">
        <v>372</v>
      </c>
      <c r="C719" s="2" t="s">
        <v>119</v>
      </c>
      <c r="D719" s="2" t="s">
        <v>120</v>
      </c>
      <c r="E719" s="2" t="s">
        <v>20</v>
      </c>
      <c r="F719" s="2" t="s">
        <v>59</v>
      </c>
      <c r="G719" s="2" t="s">
        <v>98</v>
      </c>
      <c r="H719" s="3">
        <v>10455</v>
      </c>
      <c r="I719" s="4">
        <v>30</v>
      </c>
      <c r="J719" s="5">
        <v>5.63</v>
      </c>
      <c r="K719" s="4">
        <v>85</v>
      </c>
      <c r="L719" s="3">
        <f t="shared" si="33"/>
        <v>1568.2500000000002</v>
      </c>
      <c r="M719" s="3">
        <f t="shared" si="34"/>
        <v>51.185202766625927</v>
      </c>
      <c r="N719" s="3">
        <v>117</v>
      </c>
      <c r="O719" s="5">
        <f t="shared" si="35"/>
        <v>43.748036552671735</v>
      </c>
      <c r="P719" s="2" t="s">
        <v>36</v>
      </c>
    </row>
    <row r="720" spans="1:16" x14ac:dyDescent="0.2">
      <c r="A720" s="2" t="s">
        <v>1096</v>
      </c>
      <c r="B720" s="2" t="s">
        <v>502</v>
      </c>
      <c r="C720" s="2" t="s">
        <v>142</v>
      </c>
      <c r="D720" s="2" t="s">
        <v>143</v>
      </c>
      <c r="E720" s="2" t="s">
        <v>88</v>
      </c>
      <c r="F720" s="2" t="s">
        <v>34</v>
      </c>
      <c r="G720" s="2" t="s">
        <v>35</v>
      </c>
      <c r="H720" s="3">
        <v>5392</v>
      </c>
      <c r="I720" s="4">
        <v>20</v>
      </c>
      <c r="J720" s="5">
        <v>4.3899999999999997</v>
      </c>
      <c r="K720" s="4">
        <v>80</v>
      </c>
      <c r="L720" s="3">
        <f t="shared" si="33"/>
        <v>1078.3999999999999</v>
      </c>
      <c r="M720" s="3">
        <f t="shared" si="34"/>
        <v>27.034500198117609</v>
      </c>
      <c r="N720" s="3">
        <v>62.5</v>
      </c>
      <c r="O720" s="5">
        <f t="shared" si="35"/>
        <v>43.255200316988173</v>
      </c>
      <c r="P720" s="2" t="s">
        <v>23</v>
      </c>
    </row>
    <row r="721" spans="1:16" x14ac:dyDescent="0.2">
      <c r="A721" s="2" t="s">
        <v>1097</v>
      </c>
      <c r="B721" s="2" t="s">
        <v>706</v>
      </c>
      <c r="C721" s="2" t="s">
        <v>26</v>
      </c>
      <c r="D721" s="2" t="s">
        <v>27</v>
      </c>
      <c r="E721" s="2" t="s">
        <v>177</v>
      </c>
      <c r="F721" s="2" t="s">
        <v>59</v>
      </c>
      <c r="G721" s="2" t="s">
        <v>22</v>
      </c>
      <c r="H721" s="3">
        <v>8412</v>
      </c>
      <c r="I721" s="4">
        <v>15</v>
      </c>
      <c r="J721" s="5">
        <v>4.92</v>
      </c>
      <c r="K721" s="4">
        <v>85</v>
      </c>
      <c r="L721" s="3">
        <f t="shared" si="33"/>
        <v>1261.8000000000002</v>
      </c>
      <c r="M721" s="3">
        <f t="shared" si="34"/>
        <v>56.245799219161277</v>
      </c>
      <c r="N721" s="3">
        <v>112.2</v>
      </c>
      <c r="O721" s="5">
        <f t="shared" si="35"/>
        <v>50.129945828129472</v>
      </c>
      <c r="P721" s="2" t="s">
        <v>36</v>
      </c>
    </row>
    <row r="722" spans="1:16" x14ac:dyDescent="0.2">
      <c r="A722" s="2" t="s">
        <v>1098</v>
      </c>
      <c r="B722" s="2" t="s">
        <v>1025</v>
      </c>
      <c r="C722" s="2" t="s">
        <v>175</v>
      </c>
      <c r="D722" s="2" t="s">
        <v>176</v>
      </c>
      <c r="E722" s="2" t="s">
        <v>81</v>
      </c>
      <c r="F722" s="2" t="s">
        <v>21</v>
      </c>
      <c r="G722" s="2" t="s">
        <v>35</v>
      </c>
      <c r="H722" s="3">
        <v>4938</v>
      </c>
      <c r="I722" s="4">
        <v>25</v>
      </c>
      <c r="J722" s="5">
        <v>4.22</v>
      </c>
      <c r="K722" s="4">
        <v>90</v>
      </c>
      <c r="L722" s="3">
        <f t="shared" si="33"/>
        <v>493.7999999999999</v>
      </c>
      <c r="M722" s="3">
        <f t="shared" si="34"/>
        <v>24.001333311714067</v>
      </c>
      <c r="N722" s="3">
        <v>66.7</v>
      </c>
      <c r="O722" s="5">
        <f t="shared" si="35"/>
        <v>35.984007963589306</v>
      </c>
      <c r="P722" s="2" t="s">
        <v>36</v>
      </c>
    </row>
    <row r="723" spans="1:16" x14ac:dyDescent="0.2">
      <c r="A723" s="2" t="s">
        <v>1099</v>
      </c>
      <c r="B723" s="2" t="s">
        <v>520</v>
      </c>
      <c r="C723" s="2" t="s">
        <v>62</v>
      </c>
      <c r="D723" s="2" t="s">
        <v>63</v>
      </c>
      <c r="E723" s="2" t="s">
        <v>114</v>
      </c>
      <c r="F723" s="2" t="s">
        <v>34</v>
      </c>
      <c r="G723" s="2" t="s">
        <v>35</v>
      </c>
      <c r="H723" s="3">
        <v>15879</v>
      </c>
      <c r="I723" s="4">
        <v>30</v>
      </c>
      <c r="J723" s="5">
        <v>5.49</v>
      </c>
      <c r="K723" s="4">
        <v>70</v>
      </c>
      <c r="L723" s="3">
        <f t="shared" si="33"/>
        <v>4763.7000000000007</v>
      </c>
      <c r="M723" s="3">
        <f t="shared" si="34"/>
        <v>63.041729529604247</v>
      </c>
      <c r="N723" s="3">
        <v>231.5</v>
      </c>
      <c r="O723" s="5">
        <f t="shared" si="35"/>
        <v>27.231848608900322</v>
      </c>
      <c r="P723" s="2" t="s">
        <v>36</v>
      </c>
    </row>
    <row r="724" spans="1:16" x14ac:dyDescent="0.2">
      <c r="A724" s="2" t="s">
        <v>1100</v>
      </c>
      <c r="B724" s="2" t="s">
        <v>600</v>
      </c>
      <c r="C724" s="2" t="s">
        <v>53</v>
      </c>
      <c r="D724" s="2" t="s">
        <v>19</v>
      </c>
      <c r="E724" s="2" t="s">
        <v>156</v>
      </c>
      <c r="F724" s="2" t="s">
        <v>50</v>
      </c>
      <c r="G724" s="2" t="s">
        <v>44</v>
      </c>
      <c r="H724" s="3">
        <v>2711</v>
      </c>
      <c r="I724" s="4">
        <v>20</v>
      </c>
      <c r="J724" s="5">
        <v>3.94</v>
      </c>
      <c r="K724" s="4">
        <v>80</v>
      </c>
      <c r="L724" s="3">
        <f t="shared" si="33"/>
        <v>542.19999999999993</v>
      </c>
      <c r="M724" s="3">
        <f t="shared" si="34"/>
        <v>13.074034120253886</v>
      </c>
      <c r="N724" s="3">
        <v>32</v>
      </c>
      <c r="O724" s="5">
        <f t="shared" si="35"/>
        <v>40.856356625793396</v>
      </c>
      <c r="P724" s="2" t="s">
        <v>29</v>
      </c>
    </row>
    <row r="725" spans="1:16" x14ac:dyDescent="0.2">
      <c r="A725" s="2" t="s">
        <v>1101</v>
      </c>
      <c r="B725" s="2" t="s">
        <v>568</v>
      </c>
      <c r="C725" s="2" t="s">
        <v>77</v>
      </c>
      <c r="D725" s="2" t="s">
        <v>19</v>
      </c>
      <c r="E725" s="2" t="s">
        <v>78</v>
      </c>
      <c r="F725" s="2" t="s">
        <v>21</v>
      </c>
      <c r="G725" s="2" t="s">
        <v>44</v>
      </c>
      <c r="H725" s="3">
        <v>17187</v>
      </c>
      <c r="I725" s="4">
        <v>15</v>
      </c>
      <c r="J725" s="5">
        <v>4.2300000000000004</v>
      </c>
      <c r="K725" s="4">
        <v>90</v>
      </c>
      <c r="L725" s="3">
        <f t="shared" si="33"/>
        <v>1718.6999999999996</v>
      </c>
      <c r="M725" s="3">
        <f t="shared" si="34"/>
        <v>116.20816937695096</v>
      </c>
      <c r="N725" s="3">
        <v>186.9</v>
      </c>
      <c r="O725" s="5">
        <f t="shared" si="35"/>
        <v>62.176655632397512</v>
      </c>
      <c r="P725" s="2" t="s">
        <v>36</v>
      </c>
    </row>
    <row r="726" spans="1:16" x14ac:dyDescent="0.2">
      <c r="A726" s="2" t="s">
        <v>1102</v>
      </c>
      <c r="B726" s="2" t="s">
        <v>262</v>
      </c>
      <c r="C726" s="2" t="s">
        <v>53</v>
      </c>
      <c r="D726" s="2" t="s">
        <v>19</v>
      </c>
      <c r="E726" s="2" t="s">
        <v>64</v>
      </c>
      <c r="F726" s="2" t="s">
        <v>59</v>
      </c>
      <c r="G726" s="2" t="s">
        <v>98</v>
      </c>
      <c r="H726" s="3">
        <v>15294</v>
      </c>
      <c r="I726" s="4">
        <v>30</v>
      </c>
      <c r="J726" s="5">
        <v>5.36</v>
      </c>
      <c r="K726" s="4">
        <v>85</v>
      </c>
      <c r="L726" s="3">
        <f t="shared" si="33"/>
        <v>2294.1000000000004</v>
      </c>
      <c r="M726" s="3">
        <f t="shared" si="34"/>
        <v>72.674182185716006</v>
      </c>
      <c r="N726" s="3">
        <v>177.8</v>
      </c>
      <c r="O726" s="5">
        <f t="shared" si="35"/>
        <v>40.874118214688416</v>
      </c>
      <c r="P726" s="2" t="s">
        <v>69</v>
      </c>
    </row>
    <row r="727" spans="1:16" x14ac:dyDescent="0.2">
      <c r="A727" s="2" t="s">
        <v>1103</v>
      </c>
      <c r="B727" s="2" t="s">
        <v>407</v>
      </c>
      <c r="C727" s="2" t="s">
        <v>72</v>
      </c>
      <c r="D727" s="2" t="s">
        <v>73</v>
      </c>
      <c r="E727" s="2" t="s">
        <v>81</v>
      </c>
      <c r="F727" s="2" t="s">
        <v>21</v>
      </c>
      <c r="G727" s="2" t="s">
        <v>35</v>
      </c>
      <c r="H727" s="3">
        <v>8666</v>
      </c>
      <c r="I727" s="4">
        <v>25</v>
      </c>
      <c r="J727" s="5">
        <v>4.5</v>
      </c>
      <c r="K727" s="4">
        <v>80</v>
      </c>
      <c r="L727" s="3">
        <f t="shared" si="33"/>
        <v>1733.1999999999996</v>
      </c>
      <c r="M727" s="3">
        <f t="shared" si="34"/>
        <v>38.534754032148776</v>
      </c>
      <c r="N727" s="3">
        <v>95.8</v>
      </c>
      <c r="O727" s="5">
        <f t="shared" si="35"/>
        <v>40.224169135854673</v>
      </c>
      <c r="P727" s="2" t="s">
        <v>36</v>
      </c>
    </row>
    <row r="728" spans="1:16" x14ac:dyDescent="0.2">
      <c r="A728" s="2" t="s">
        <v>1104</v>
      </c>
      <c r="B728" s="2" t="s">
        <v>589</v>
      </c>
      <c r="C728" s="2" t="s">
        <v>131</v>
      </c>
      <c r="D728" s="2" t="s">
        <v>27</v>
      </c>
      <c r="E728" s="2" t="s">
        <v>97</v>
      </c>
      <c r="F728" s="2" t="s">
        <v>59</v>
      </c>
      <c r="G728" s="2" t="s">
        <v>35</v>
      </c>
      <c r="H728" s="3">
        <v>5148</v>
      </c>
      <c r="I728" s="4">
        <v>15</v>
      </c>
      <c r="J728" s="5">
        <v>5.0999999999999996</v>
      </c>
      <c r="K728" s="4">
        <v>80</v>
      </c>
      <c r="L728" s="3">
        <f t="shared" si="33"/>
        <v>1029.5999999999997</v>
      </c>
      <c r="M728" s="3">
        <f t="shared" si="34"/>
        <v>32.78298361280531</v>
      </c>
      <c r="N728" s="3">
        <v>90.8</v>
      </c>
      <c r="O728" s="5">
        <f t="shared" si="35"/>
        <v>36.104607503089547</v>
      </c>
      <c r="P728" s="2" t="s">
        <v>69</v>
      </c>
    </row>
    <row r="729" spans="1:16" x14ac:dyDescent="0.2">
      <c r="A729" s="2" t="s">
        <v>1105</v>
      </c>
      <c r="B729" s="2" t="s">
        <v>87</v>
      </c>
      <c r="C729" s="2" t="s">
        <v>146</v>
      </c>
      <c r="D729" s="2" t="s">
        <v>19</v>
      </c>
      <c r="E729" s="2" t="s">
        <v>107</v>
      </c>
      <c r="F729" s="2" t="s">
        <v>21</v>
      </c>
      <c r="G729" s="2" t="s">
        <v>22</v>
      </c>
      <c r="H729" s="3">
        <v>7859</v>
      </c>
      <c r="I729" s="4">
        <v>25</v>
      </c>
      <c r="J729" s="5">
        <v>5.72</v>
      </c>
      <c r="K729" s="4">
        <v>80</v>
      </c>
      <c r="L729" s="3">
        <f t="shared" si="33"/>
        <v>1571.7999999999997</v>
      </c>
      <c r="M729" s="3">
        <f t="shared" si="34"/>
        <v>39.439277097440296</v>
      </c>
      <c r="N729" s="3">
        <v>141.9</v>
      </c>
      <c r="O729" s="5">
        <f t="shared" si="35"/>
        <v>27.793711837519584</v>
      </c>
      <c r="P729" s="2" t="s">
        <v>36</v>
      </c>
    </row>
    <row r="730" spans="1:16" x14ac:dyDescent="0.2">
      <c r="A730" s="2" t="s">
        <v>1106</v>
      </c>
      <c r="B730" s="2" t="s">
        <v>118</v>
      </c>
      <c r="C730" s="2" t="s">
        <v>100</v>
      </c>
      <c r="D730" s="2" t="s">
        <v>32</v>
      </c>
      <c r="E730" s="2" t="s">
        <v>49</v>
      </c>
      <c r="F730" s="2" t="s">
        <v>59</v>
      </c>
      <c r="G730" s="2" t="s">
        <v>44</v>
      </c>
      <c r="H730" s="3">
        <v>1642</v>
      </c>
      <c r="I730" s="4">
        <v>30</v>
      </c>
      <c r="J730" s="5">
        <v>4.62</v>
      </c>
      <c r="K730" s="4">
        <v>80</v>
      </c>
      <c r="L730" s="3">
        <f t="shared" si="33"/>
        <v>328.39999999999992</v>
      </c>
      <c r="M730" s="3">
        <f t="shared" si="34"/>
        <v>6.7498063741030485</v>
      </c>
      <c r="N730" s="3">
        <v>27.3</v>
      </c>
      <c r="O730" s="5">
        <f t="shared" si="35"/>
        <v>24.724565472904938</v>
      </c>
      <c r="P730" s="2" t="s">
        <v>36</v>
      </c>
    </row>
    <row r="731" spans="1:16" x14ac:dyDescent="0.2">
      <c r="A731" s="2" t="s">
        <v>1107</v>
      </c>
      <c r="B731" s="2" t="s">
        <v>632</v>
      </c>
      <c r="C731" s="2" t="s">
        <v>153</v>
      </c>
      <c r="D731" s="2" t="s">
        <v>19</v>
      </c>
      <c r="E731" s="2" t="s">
        <v>20</v>
      </c>
      <c r="F731" s="2" t="s">
        <v>28</v>
      </c>
      <c r="G731" s="2" t="s">
        <v>35</v>
      </c>
      <c r="H731" s="3">
        <v>14962</v>
      </c>
      <c r="I731" s="4">
        <v>25</v>
      </c>
      <c r="J731" s="5">
        <v>4.33</v>
      </c>
      <c r="K731" s="4">
        <v>80</v>
      </c>
      <c r="L731" s="3">
        <f t="shared" si="33"/>
        <v>2992.3999999999992</v>
      </c>
      <c r="M731" s="3">
        <f t="shared" si="34"/>
        <v>65.381236477209754</v>
      </c>
      <c r="N731" s="3">
        <v>242</v>
      </c>
      <c r="O731" s="5">
        <f t="shared" si="35"/>
        <v>27.017039866615601</v>
      </c>
      <c r="P731" s="2" t="s">
        <v>36</v>
      </c>
    </row>
    <row r="732" spans="1:16" x14ac:dyDescent="0.2">
      <c r="A732" s="2" t="s">
        <v>1108</v>
      </c>
      <c r="B732" s="2" t="s">
        <v>1109</v>
      </c>
      <c r="C732" s="2" t="s">
        <v>146</v>
      </c>
      <c r="D732" s="2" t="s">
        <v>19</v>
      </c>
      <c r="E732" s="2" t="s">
        <v>58</v>
      </c>
      <c r="F732" s="2" t="s">
        <v>34</v>
      </c>
      <c r="G732" s="2" t="s">
        <v>98</v>
      </c>
      <c r="H732" s="3">
        <v>15755</v>
      </c>
      <c r="I732" s="4">
        <v>20</v>
      </c>
      <c r="J732" s="5">
        <v>5.07</v>
      </c>
      <c r="K732" s="4">
        <v>70</v>
      </c>
      <c r="L732" s="3">
        <f t="shared" si="33"/>
        <v>4726.5000000000009</v>
      </c>
      <c r="M732" s="3">
        <f t="shared" si="34"/>
        <v>73.210360313612497</v>
      </c>
      <c r="N732" s="3">
        <v>241.4</v>
      </c>
      <c r="O732" s="5">
        <f t="shared" si="35"/>
        <v>30.327406923617438</v>
      </c>
      <c r="P732" s="2" t="s">
        <v>23</v>
      </c>
    </row>
    <row r="733" spans="1:16" x14ac:dyDescent="0.2">
      <c r="A733" s="2" t="s">
        <v>1110</v>
      </c>
      <c r="B733" s="2" t="s">
        <v>1111</v>
      </c>
      <c r="C733" s="2" t="s">
        <v>146</v>
      </c>
      <c r="D733" s="2" t="s">
        <v>19</v>
      </c>
      <c r="E733" s="2" t="s">
        <v>41</v>
      </c>
      <c r="F733" s="2" t="s">
        <v>34</v>
      </c>
      <c r="G733" s="2" t="s">
        <v>98</v>
      </c>
      <c r="H733" s="3">
        <v>3700</v>
      </c>
      <c r="I733" s="4">
        <v>25</v>
      </c>
      <c r="J733" s="5">
        <v>4.01</v>
      </c>
      <c r="K733" s="4">
        <v>75</v>
      </c>
      <c r="L733" s="3">
        <f t="shared" si="33"/>
        <v>925</v>
      </c>
      <c r="M733" s="3">
        <f t="shared" si="34"/>
        <v>14.662798943791497</v>
      </c>
      <c r="N733" s="3">
        <v>62.5</v>
      </c>
      <c r="O733" s="5">
        <f t="shared" si="35"/>
        <v>23.460478310066396</v>
      </c>
      <c r="P733" s="2" t="s">
        <v>36</v>
      </c>
    </row>
    <row r="734" spans="1:16" x14ac:dyDescent="0.2">
      <c r="A734" s="2" t="s">
        <v>1112</v>
      </c>
      <c r="B734" s="2" t="s">
        <v>189</v>
      </c>
      <c r="C734" s="2" t="s">
        <v>142</v>
      </c>
      <c r="D734" s="2" t="s">
        <v>143</v>
      </c>
      <c r="E734" s="2" t="s">
        <v>156</v>
      </c>
      <c r="F734" s="2" t="s">
        <v>21</v>
      </c>
      <c r="G734" s="2" t="s">
        <v>44</v>
      </c>
      <c r="H734" s="3">
        <v>7907</v>
      </c>
      <c r="I734" s="4">
        <v>20</v>
      </c>
      <c r="J734" s="5">
        <v>4.78</v>
      </c>
      <c r="K734" s="4">
        <v>70</v>
      </c>
      <c r="L734" s="3">
        <f t="shared" si="33"/>
        <v>2372.1000000000004</v>
      </c>
      <c r="M734" s="3">
        <f t="shared" si="34"/>
        <v>35.858578930862421</v>
      </c>
      <c r="N734" s="3">
        <v>114.9</v>
      </c>
      <c r="O734" s="5">
        <f t="shared" si="35"/>
        <v>31.208510818853281</v>
      </c>
      <c r="P734" s="2" t="s">
        <v>36</v>
      </c>
    </row>
    <row r="735" spans="1:16" x14ac:dyDescent="0.2">
      <c r="A735" s="2" t="s">
        <v>1113</v>
      </c>
      <c r="B735" s="2" t="s">
        <v>924</v>
      </c>
      <c r="C735" s="2" t="s">
        <v>91</v>
      </c>
      <c r="D735" s="2" t="s">
        <v>92</v>
      </c>
      <c r="E735" s="2" t="s">
        <v>68</v>
      </c>
      <c r="F735" s="2" t="s">
        <v>50</v>
      </c>
      <c r="G735" s="2" t="s">
        <v>98</v>
      </c>
      <c r="H735" s="3">
        <v>13774</v>
      </c>
      <c r="I735" s="4">
        <v>30</v>
      </c>
      <c r="J735" s="5">
        <v>4.84</v>
      </c>
      <c r="K735" s="4">
        <v>70</v>
      </c>
      <c r="L735" s="3">
        <f t="shared" si="33"/>
        <v>4132.2000000000007</v>
      </c>
      <c r="M735" s="3">
        <f t="shared" si="34"/>
        <v>50.820564275773329</v>
      </c>
      <c r="N735" s="3">
        <v>192.7</v>
      </c>
      <c r="O735" s="5">
        <f t="shared" si="35"/>
        <v>26.372892722248746</v>
      </c>
      <c r="P735" s="2" t="s">
        <v>29</v>
      </c>
    </row>
    <row r="736" spans="1:16" x14ac:dyDescent="0.2">
      <c r="A736" s="2" t="s">
        <v>1114</v>
      </c>
      <c r="B736" s="2" t="s">
        <v>348</v>
      </c>
      <c r="C736" s="2" t="s">
        <v>84</v>
      </c>
      <c r="D736" s="2" t="s">
        <v>85</v>
      </c>
      <c r="E736" s="2" t="s">
        <v>58</v>
      </c>
      <c r="F736" s="2" t="s">
        <v>34</v>
      </c>
      <c r="G736" s="2" t="s">
        <v>98</v>
      </c>
      <c r="H736" s="3">
        <v>3226</v>
      </c>
      <c r="I736" s="4">
        <v>30</v>
      </c>
      <c r="J736" s="5">
        <v>4.87</v>
      </c>
      <c r="K736" s="4">
        <v>90</v>
      </c>
      <c r="L736" s="3">
        <f t="shared" si="33"/>
        <v>322.59999999999991</v>
      </c>
      <c r="M736" s="3">
        <f t="shared" si="34"/>
        <v>15.356221278318817</v>
      </c>
      <c r="N736" s="3">
        <v>51.7</v>
      </c>
      <c r="O736" s="5">
        <f t="shared" si="35"/>
        <v>29.702555664059606</v>
      </c>
      <c r="P736" s="2" t="s">
        <v>36</v>
      </c>
    </row>
    <row r="737" spans="1:16" x14ac:dyDescent="0.2">
      <c r="A737" s="2" t="s">
        <v>1115</v>
      </c>
      <c r="B737" s="2" t="s">
        <v>534</v>
      </c>
      <c r="C737" s="2" t="s">
        <v>84</v>
      </c>
      <c r="D737" s="2" t="s">
        <v>85</v>
      </c>
      <c r="E737" s="2" t="s">
        <v>58</v>
      </c>
      <c r="F737" s="2" t="s">
        <v>59</v>
      </c>
      <c r="G737" s="2" t="s">
        <v>22</v>
      </c>
      <c r="H737" s="3">
        <v>3178</v>
      </c>
      <c r="I737" s="4">
        <v>20</v>
      </c>
      <c r="J737" s="5">
        <v>4.01</v>
      </c>
      <c r="K737" s="4">
        <v>80</v>
      </c>
      <c r="L737" s="3">
        <f t="shared" si="33"/>
        <v>635.59999999999991</v>
      </c>
      <c r="M737" s="3">
        <f t="shared" si="34"/>
        <v>15.419843906529845</v>
      </c>
      <c r="N737" s="3">
        <v>41.2</v>
      </c>
      <c r="O737" s="5">
        <f t="shared" si="35"/>
        <v>37.426805598373406</v>
      </c>
      <c r="P737" s="2" t="s">
        <v>36</v>
      </c>
    </row>
    <row r="738" spans="1:16" x14ac:dyDescent="0.2">
      <c r="A738" s="2" t="s">
        <v>1116</v>
      </c>
      <c r="B738" s="2" t="s">
        <v>277</v>
      </c>
      <c r="C738" s="2" t="s">
        <v>146</v>
      </c>
      <c r="D738" s="2" t="s">
        <v>19</v>
      </c>
      <c r="E738" s="2" t="s">
        <v>74</v>
      </c>
      <c r="F738" s="2" t="s">
        <v>21</v>
      </c>
      <c r="G738" s="2" t="s">
        <v>22</v>
      </c>
      <c r="H738" s="3">
        <v>4752</v>
      </c>
      <c r="I738" s="4">
        <v>20</v>
      </c>
      <c r="J738" s="5">
        <v>4.9000000000000004</v>
      </c>
      <c r="K738" s="4">
        <v>85</v>
      </c>
      <c r="L738" s="3">
        <f t="shared" si="33"/>
        <v>712.80000000000007</v>
      </c>
      <c r="M738" s="3">
        <f t="shared" si="34"/>
        <v>26.434304026278429</v>
      </c>
      <c r="N738" s="3">
        <v>57.3</v>
      </c>
      <c r="O738" s="5">
        <f t="shared" si="35"/>
        <v>46.13316583992745</v>
      </c>
      <c r="P738" s="2" t="s">
        <v>29</v>
      </c>
    </row>
    <row r="739" spans="1:16" x14ac:dyDescent="0.2">
      <c r="A739" s="2" t="s">
        <v>1117</v>
      </c>
      <c r="B739" s="2" t="s">
        <v>924</v>
      </c>
      <c r="C739" s="2" t="s">
        <v>175</v>
      </c>
      <c r="D739" s="2" t="s">
        <v>176</v>
      </c>
      <c r="E739" s="2" t="s">
        <v>78</v>
      </c>
      <c r="F739" s="2" t="s">
        <v>21</v>
      </c>
      <c r="G739" s="2" t="s">
        <v>35</v>
      </c>
      <c r="H739" s="3">
        <v>17735</v>
      </c>
      <c r="I739" s="4">
        <v>30</v>
      </c>
      <c r="J739" s="5">
        <v>5.0999999999999996</v>
      </c>
      <c r="K739" s="4">
        <v>80</v>
      </c>
      <c r="L739" s="3">
        <f t="shared" si="33"/>
        <v>3546.9999999999991</v>
      </c>
      <c r="M739" s="3">
        <f t="shared" si="34"/>
        <v>77.033713850050148</v>
      </c>
      <c r="N739" s="3">
        <v>237.8</v>
      </c>
      <c r="O739" s="5">
        <f t="shared" si="35"/>
        <v>32.394328784714105</v>
      </c>
      <c r="P739" s="2" t="s">
        <v>36</v>
      </c>
    </row>
    <row r="740" spans="1:16" x14ac:dyDescent="0.2">
      <c r="A740" s="2" t="s">
        <v>1118</v>
      </c>
      <c r="B740" s="2" t="s">
        <v>817</v>
      </c>
      <c r="C740" s="2" t="s">
        <v>72</v>
      </c>
      <c r="D740" s="2" t="s">
        <v>73</v>
      </c>
      <c r="E740" s="2" t="s">
        <v>107</v>
      </c>
      <c r="F740" s="2" t="s">
        <v>50</v>
      </c>
      <c r="G740" s="2" t="s">
        <v>98</v>
      </c>
      <c r="H740" s="3">
        <v>6412</v>
      </c>
      <c r="I740" s="4">
        <v>15</v>
      </c>
      <c r="J740" s="5">
        <v>4.7699999999999996</v>
      </c>
      <c r="K740" s="4">
        <v>80</v>
      </c>
      <c r="L740" s="3">
        <f t="shared" si="33"/>
        <v>1282.3999999999996</v>
      </c>
      <c r="M740" s="3">
        <f t="shared" si="34"/>
        <v>39.952624886012096</v>
      </c>
      <c r="N740" s="3">
        <v>73.3</v>
      </c>
      <c r="O740" s="5">
        <f t="shared" si="35"/>
        <v>54.505627402472165</v>
      </c>
      <c r="P740" s="2" t="s">
        <v>36</v>
      </c>
    </row>
    <row r="741" spans="1:16" x14ac:dyDescent="0.2">
      <c r="A741" s="2" t="s">
        <v>1119</v>
      </c>
      <c r="B741" s="2" t="s">
        <v>415</v>
      </c>
      <c r="C741" s="2" t="s">
        <v>18</v>
      </c>
      <c r="D741" s="2" t="s">
        <v>19</v>
      </c>
      <c r="E741" s="2" t="s">
        <v>74</v>
      </c>
      <c r="F741" s="2" t="s">
        <v>34</v>
      </c>
      <c r="G741" s="2" t="s">
        <v>98</v>
      </c>
      <c r="H741" s="3">
        <v>11371</v>
      </c>
      <c r="I741" s="4">
        <v>30</v>
      </c>
      <c r="J741" s="5">
        <v>4.76</v>
      </c>
      <c r="K741" s="4">
        <v>80</v>
      </c>
      <c r="L741" s="3">
        <f t="shared" si="33"/>
        <v>2274.1999999999994</v>
      </c>
      <c r="M741" s="3">
        <f t="shared" si="34"/>
        <v>47.508061828007072</v>
      </c>
      <c r="N741" s="3">
        <v>179.4</v>
      </c>
      <c r="O741" s="5">
        <f t="shared" si="35"/>
        <v>26.481639814942625</v>
      </c>
      <c r="P741" s="2" t="s">
        <v>36</v>
      </c>
    </row>
    <row r="742" spans="1:16" x14ac:dyDescent="0.2">
      <c r="A742" s="2" t="s">
        <v>1120</v>
      </c>
      <c r="B742" s="2" t="s">
        <v>137</v>
      </c>
      <c r="C742" s="2" t="s">
        <v>72</v>
      </c>
      <c r="D742" s="2" t="s">
        <v>73</v>
      </c>
      <c r="E742" s="2" t="s">
        <v>58</v>
      </c>
      <c r="F742" s="2" t="s">
        <v>21</v>
      </c>
      <c r="G742" s="2" t="s">
        <v>35</v>
      </c>
      <c r="H742" s="3">
        <v>17075</v>
      </c>
      <c r="I742" s="4">
        <v>15</v>
      </c>
      <c r="J742" s="5">
        <v>3.91</v>
      </c>
      <c r="K742" s="4">
        <v>90</v>
      </c>
      <c r="L742" s="3">
        <f t="shared" si="33"/>
        <v>1707.4999999999995</v>
      </c>
      <c r="M742" s="3">
        <f t="shared" si="34"/>
        <v>112.97969633837671</v>
      </c>
      <c r="N742" s="3">
        <v>199.1</v>
      </c>
      <c r="O742" s="5">
        <f t="shared" si="35"/>
        <v>56.745201576281623</v>
      </c>
      <c r="P742" s="2" t="s">
        <v>23</v>
      </c>
    </row>
    <row r="743" spans="1:16" x14ac:dyDescent="0.2">
      <c r="A743" s="2" t="s">
        <v>1121</v>
      </c>
      <c r="B743" s="2" t="s">
        <v>118</v>
      </c>
      <c r="C743" s="2" t="s">
        <v>175</v>
      </c>
      <c r="D743" s="2" t="s">
        <v>176</v>
      </c>
      <c r="E743" s="2" t="s">
        <v>81</v>
      </c>
      <c r="F743" s="2" t="s">
        <v>34</v>
      </c>
      <c r="G743" s="2" t="s">
        <v>44</v>
      </c>
      <c r="H743" s="3">
        <v>14532</v>
      </c>
      <c r="I743" s="4">
        <v>25</v>
      </c>
      <c r="J743" s="5">
        <v>4.2</v>
      </c>
      <c r="K743" s="4">
        <v>80</v>
      </c>
      <c r="L743" s="3">
        <f t="shared" si="33"/>
        <v>2906.3999999999992</v>
      </c>
      <c r="M743" s="3">
        <f t="shared" si="34"/>
        <v>62.655278104402854</v>
      </c>
      <c r="N743" s="3">
        <v>204.2</v>
      </c>
      <c r="O743" s="5">
        <f t="shared" si="35"/>
        <v>30.683289962978872</v>
      </c>
      <c r="P743" s="2" t="s">
        <v>36</v>
      </c>
    </row>
    <row r="744" spans="1:16" x14ac:dyDescent="0.2">
      <c r="A744" s="2" t="s">
        <v>1122</v>
      </c>
      <c r="B744" s="2" t="s">
        <v>212</v>
      </c>
      <c r="C744" s="2" t="s">
        <v>153</v>
      </c>
      <c r="D744" s="2" t="s">
        <v>19</v>
      </c>
      <c r="E744" s="2" t="s">
        <v>88</v>
      </c>
      <c r="F744" s="2" t="s">
        <v>21</v>
      </c>
      <c r="G744" s="2" t="s">
        <v>22</v>
      </c>
      <c r="H744" s="3">
        <v>14366</v>
      </c>
      <c r="I744" s="4">
        <v>20</v>
      </c>
      <c r="J744" s="5">
        <v>5.0999999999999996</v>
      </c>
      <c r="K744" s="4">
        <v>85</v>
      </c>
      <c r="L744" s="3">
        <f t="shared" si="33"/>
        <v>2154.9000000000005</v>
      </c>
      <c r="M744" s="3">
        <f t="shared" si="34"/>
        <v>81.263947414849994</v>
      </c>
      <c r="N744" s="3">
        <v>187.9</v>
      </c>
      <c r="O744" s="5">
        <f t="shared" si="35"/>
        <v>43.248508469850982</v>
      </c>
      <c r="P744" s="2" t="s">
        <v>36</v>
      </c>
    </row>
    <row r="745" spans="1:16" x14ac:dyDescent="0.2">
      <c r="A745" s="2" t="s">
        <v>1123</v>
      </c>
      <c r="B745" s="2" t="s">
        <v>1124</v>
      </c>
      <c r="C745" s="2" t="s">
        <v>47</v>
      </c>
      <c r="D745" s="2" t="s">
        <v>48</v>
      </c>
      <c r="E745" s="2" t="s">
        <v>58</v>
      </c>
      <c r="F745" s="2" t="s">
        <v>28</v>
      </c>
      <c r="G745" s="2" t="s">
        <v>44</v>
      </c>
      <c r="H745" s="3">
        <v>11548</v>
      </c>
      <c r="I745" s="4">
        <v>30</v>
      </c>
      <c r="J745" s="5">
        <v>5.7</v>
      </c>
      <c r="K745" s="4">
        <v>80</v>
      </c>
      <c r="L745" s="3">
        <f t="shared" si="33"/>
        <v>2309.5999999999995</v>
      </c>
      <c r="M745" s="3">
        <f t="shared" si="34"/>
        <v>53.619713100252355</v>
      </c>
      <c r="N745" s="3">
        <v>137</v>
      </c>
      <c r="O745" s="5">
        <f t="shared" si="35"/>
        <v>39.138476715512667</v>
      </c>
      <c r="P745" s="2" t="s">
        <v>36</v>
      </c>
    </row>
    <row r="746" spans="1:16" x14ac:dyDescent="0.2">
      <c r="A746" s="2" t="s">
        <v>1125</v>
      </c>
      <c r="B746" s="2" t="s">
        <v>502</v>
      </c>
      <c r="C746" s="2" t="s">
        <v>175</v>
      </c>
      <c r="D746" s="2" t="s">
        <v>176</v>
      </c>
      <c r="E746" s="2" t="s">
        <v>81</v>
      </c>
      <c r="F746" s="2" t="s">
        <v>59</v>
      </c>
      <c r="G746" s="2" t="s">
        <v>44</v>
      </c>
      <c r="H746" s="3">
        <v>5434</v>
      </c>
      <c r="I746" s="4">
        <v>25</v>
      </c>
      <c r="J746" s="5">
        <v>5.07</v>
      </c>
      <c r="K746" s="4">
        <v>70</v>
      </c>
      <c r="L746" s="3">
        <f t="shared" si="33"/>
        <v>1630.2000000000003</v>
      </c>
      <c r="M746" s="3">
        <f t="shared" si="34"/>
        <v>22.39204496543633</v>
      </c>
      <c r="N746" s="3">
        <v>87.5</v>
      </c>
      <c r="O746" s="5">
        <f t="shared" si="35"/>
        <v>25.590908531927237</v>
      </c>
      <c r="P746" s="2" t="s">
        <v>36</v>
      </c>
    </row>
    <row r="747" spans="1:16" x14ac:dyDescent="0.2">
      <c r="A747" s="2" t="s">
        <v>1126</v>
      </c>
      <c r="B747" s="2" t="s">
        <v>737</v>
      </c>
      <c r="C747" s="2" t="s">
        <v>131</v>
      </c>
      <c r="D747" s="2" t="s">
        <v>27</v>
      </c>
      <c r="E747" s="2" t="s">
        <v>81</v>
      </c>
      <c r="F747" s="2" t="s">
        <v>34</v>
      </c>
      <c r="G747" s="2" t="s">
        <v>98</v>
      </c>
      <c r="H747" s="3">
        <v>2915</v>
      </c>
      <c r="I747" s="4">
        <v>30</v>
      </c>
      <c r="J747" s="5">
        <v>4.53</v>
      </c>
      <c r="K747" s="4">
        <v>75</v>
      </c>
      <c r="L747" s="3">
        <f t="shared" si="33"/>
        <v>728.75</v>
      </c>
      <c r="M747" s="3">
        <f t="shared" si="34"/>
        <v>11.116412271950415</v>
      </c>
      <c r="N747" s="3">
        <v>39.6</v>
      </c>
      <c r="O747" s="5">
        <f t="shared" si="35"/>
        <v>28.071748161490945</v>
      </c>
      <c r="P747" s="2" t="s">
        <v>29</v>
      </c>
    </row>
    <row r="748" spans="1:16" x14ac:dyDescent="0.2">
      <c r="A748" s="2" t="s">
        <v>1127</v>
      </c>
      <c r="B748" s="2" t="s">
        <v>499</v>
      </c>
      <c r="C748" s="2" t="s">
        <v>77</v>
      </c>
      <c r="D748" s="2" t="s">
        <v>19</v>
      </c>
      <c r="E748" s="2" t="s">
        <v>156</v>
      </c>
      <c r="F748" s="2" t="s">
        <v>50</v>
      </c>
      <c r="G748" s="2" t="s">
        <v>44</v>
      </c>
      <c r="H748" s="3">
        <v>8111</v>
      </c>
      <c r="I748" s="4">
        <v>25</v>
      </c>
      <c r="J748" s="5">
        <v>5.53</v>
      </c>
      <c r="K748" s="4">
        <v>80</v>
      </c>
      <c r="L748" s="3">
        <f t="shared" si="33"/>
        <v>1622.1999999999996</v>
      </c>
      <c r="M748" s="3">
        <f t="shared" si="34"/>
        <v>39.963244969895769</v>
      </c>
      <c r="N748" s="3">
        <v>96.6</v>
      </c>
      <c r="O748" s="5">
        <f t="shared" si="35"/>
        <v>41.369818809415911</v>
      </c>
      <c r="P748" s="2" t="s">
        <v>36</v>
      </c>
    </row>
    <row r="749" spans="1:16" x14ac:dyDescent="0.2">
      <c r="A749" s="2" t="s">
        <v>1128</v>
      </c>
      <c r="B749" s="2" t="s">
        <v>511</v>
      </c>
      <c r="C749" s="2" t="s">
        <v>26</v>
      </c>
      <c r="D749" s="2" t="s">
        <v>27</v>
      </c>
      <c r="E749" s="2" t="s">
        <v>97</v>
      </c>
      <c r="F749" s="2" t="s">
        <v>28</v>
      </c>
      <c r="G749" s="2" t="s">
        <v>22</v>
      </c>
      <c r="H749" s="3">
        <v>10433</v>
      </c>
      <c r="I749" s="4">
        <v>25</v>
      </c>
      <c r="J749" s="5">
        <v>5.04</v>
      </c>
      <c r="K749" s="4">
        <v>75</v>
      </c>
      <c r="L749" s="3">
        <f t="shared" si="33"/>
        <v>2608.25</v>
      </c>
      <c r="M749" s="3">
        <f t="shared" si="34"/>
        <v>45.925250542599812</v>
      </c>
      <c r="N749" s="3">
        <v>165.1</v>
      </c>
      <c r="O749" s="5">
        <f t="shared" si="35"/>
        <v>27.816626615747918</v>
      </c>
      <c r="P749" s="2" t="s">
        <v>36</v>
      </c>
    </row>
    <row r="750" spans="1:16" x14ac:dyDescent="0.2">
      <c r="A750" s="2" t="s">
        <v>1129</v>
      </c>
      <c r="B750" s="2" t="s">
        <v>483</v>
      </c>
      <c r="C750" s="2" t="s">
        <v>18</v>
      </c>
      <c r="D750" s="2" t="s">
        <v>19</v>
      </c>
      <c r="E750" s="2" t="s">
        <v>156</v>
      </c>
      <c r="F750" s="2" t="s">
        <v>50</v>
      </c>
      <c r="G750" s="2" t="s">
        <v>44</v>
      </c>
      <c r="H750" s="3">
        <v>17839</v>
      </c>
      <c r="I750" s="4">
        <v>20</v>
      </c>
      <c r="J750" s="5">
        <v>4.58</v>
      </c>
      <c r="K750" s="4">
        <v>80</v>
      </c>
      <c r="L750" s="3">
        <f t="shared" si="33"/>
        <v>3567.7999999999993</v>
      </c>
      <c r="M750" s="3">
        <f t="shared" si="34"/>
        <v>90.904100342797193</v>
      </c>
      <c r="N750" s="3">
        <v>225.5</v>
      </c>
      <c r="O750" s="5">
        <f t="shared" si="35"/>
        <v>40.312239619865721</v>
      </c>
      <c r="P750" s="2" t="s">
        <v>36</v>
      </c>
    </row>
    <row r="751" spans="1:16" x14ac:dyDescent="0.2">
      <c r="A751" s="2" t="s">
        <v>1130</v>
      </c>
      <c r="B751" s="2" t="s">
        <v>52</v>
      </c>
      <c r="C751" s="2" t="s">
        <v>39</v>
      </c>
      <c r="D751" s="2" t="s">
        <v>40</v>
      </c>
      <c r="E751" s="2" t="s">
        <v>156</v>
      </c>
      <c r="F751" s="2" t="s">
        <v>50</v>
      </c>
      <c r="G751" s="2" t="s">
        <v>44</v>
      </c>
      <c r="H751" s="3">
        <v>5123</v>
      </c>
      <c r="I751" s="4">
        <v>15</v>
      </c>
      <c r="J751" s="5">
        <v>5.55</v>
      </c>
      <c r="K751" s="4">
        <v>80</v>
      </c>
      <c r="L751" s="3">
        <f t="shared" si="33"/>
        <v>1024.5999999999997</v>
      </c>
      <c r="M751" s="3">
        <f t="shared" si="34"/>
        <v>33.596188682643891</v>
      </c>
      <c r="N751" s="3">
        <v>54.1</v>
      </c>
      <c r="O751" s="5">
        <f t="shared" si="35"/>
        <v>62.100163923556174</v>
      </c>
      <c r="P751" s="2" t="s">
        <v>29</v>
      </c>
    </row>
    <row r="752" spans="1:16" x14ac:dyDescent="0.2">
      <c r="A752" s="2" t="s">
        <v>1131</v>
      </c>
      <c r="B752" s="2" t="s">
        <v>765</v>
      </c>
      <c r="C752" s="2" t="s">
        <v>146</v>
      </c>
      <c r="D752" s="2" t="s">
        <v>19</v>
      </c>
      <c r="E752" s="2" t="s">
        <v>114</v>
      </c>
      <c r="F752" s="2" t="s">
        <v>50</v>
      </c>
      <c r="G752" s="2" t="s">
        <v>44</v>
      </c>
      <c r="H752" s="3">
        <v>10240</v>
      </c>
      <c r="I752" s="4">
        <v>20</v>
      </c>
      <c r="J752" s="5">
        <v>4.72</v>
      </c>
      <c r="K752" s="4">
        <v>80</v>
      </c>
      <c r="L752" s="3">
        <f t="shared" si="33"/>
        <v>2047.9999999999995</v>
      </c>
      <c r="M752" s="3">
        <f t="shared" si="34"/>
        <v>52.804514018196443</v>
      </c>
      <c r="N752" s="3">
        <v>132.4</v>
      </c>
      <c r="O752" s="5">
        <f t="shared" si="35"/>
        <v>39.882563457852299</v>
      </c>
      <c r="P752" s="2" t="s">
        <v>29</v>
      </c>
    </row>
    <row r="753" spans="1:16" x14ac:dyDescent="0.2">
      <c r="A753" s="2" t="s">
        <v>1132</v>
      </c>
      <c r="B753" s="2" t="s">
        <v>279</v>
      </c>
      <c r="C753" s="2" t="s">
        <v>91</v>
      </c>
      <c r="D753" s="2" t="s">
        <v>92</v>
      </c>
      <c r="E753" s="2" t="s">
        <v>78</v>
      </c>
      <c r="F753" s="2" t="s">
        <v>50</v>
      </c>
      <c r="G753" s="2" t="s">
        <v>44</v>
      </c>
      <c r="H753" s="3">
        <v>16757</v>
      </c>
      <c r="I753" s="4">
        <v>20</v>
      </c>
      <c r="J753" s="5">
        <v>4</v>
      </c>
      <c r="K753" s="4">
        <v>80</v>
      </c>
      <c r="L753" s="3">
        <f t="shared" si="33"/>
        <v>3351.3999999999992</v>
      </c>
      <c r="M753" s="3">
        <f t="shared" si="34"/>
        <v>81.235299024562877</v>
      </c>
      <c r="N753" s="3">
        <v>232.2</v>
      </c>
      <c r="O753" s="5">
        <f t="shared" si="35"/>
        <v>34.98505556613388</v>
      </c>
      <c r="P753" s="2" t="s">
        <v>69</v>
      </c>
    </row>
    <row r="754" spans="1:16" x14ac:dyDescent="0.2">
      <c r="A754" s="2" t="s">
        <v>1133</v>
      </c>
      <c r="B754" s="2" t="s">
        <v>543</v>
      </c>
      <c r="C754" s="2" t="s">
        <v>91</v>
      </c>
      <c r="D754" s="2" t="s">
        <v>92</v>
      </c>
      <c r="E754" s="2" t="s">
        <v>81</v>
      </c>
      <c r="F754" s="2" t="s">
        <v>50</v>
      </c>
      <c r="G754" s="2" t="s">
        <v>44</v>
      </c>
      <c r="H754" s="3">
        <v>15978</v>
      </c>
      <c r="I754" s="4">
        <v>25</v>
      </c>
      <c r="J754" s="5">
        <v>5.58</v>
      </c>
      <c r="K754" s="4">
        <v>70</v>
      </c>
      <c r="L754" s="3">
        <f t="shared" si="33"/>
        <v>4793.4000000000005</v>
      </c>
      <c r="M754" s="3">
        <f t="shared" si="34"/>
        <v>69.218603567491854</v>
      </c>
      <c r="N754" s="3">
        <v>183.2</v>
      </c>
      <c r="O754" s="5">
        <f t="shared" si="35"/>
        <v>37.783080549940976</v>
      </c>
      <c r="P754" s="2" t="s">
        <v>36</v>
      </c>
    </row>
    <row r="755" spans="1:16" x14ac:dyDescent="0.2">
      <c r="A755" s="2" t="s">
        <v>1134</v>
      </c>
      <c r="B755" s="2" t="s">
        <v>1135</v>
      </c>
      <c r="C755" s="2" t="s">
        <v>100</v>
      </c>
      <c r="D755" s="2" t="s">
        <v>32</v>
      </c>
      <c r="E755" s="2" t="s">
        <v>107</v>
      </c>
      <c r="F755" s="2" t="s">
        <v>28</v>
      </c>
      <c r="G755" s="2" t="s">
        <v>35</v>
      </c>
      <c r="H755" s="3">
        <v>16623</v>
      </c>
      <c r="I755" s="4">
        <v>30</v>
      </c>
      <c r="J755" s="5">
        <v>4.21</v>
      </c>
      <c r="K755" s="4">
        <v>80</v>
      </c>
      <c r="L755" s="3">
        <f t="shared" si="33"/>
        <v>3324.5999999999995</v>
      </c>
      <c r="M755" s="3">
        <f t="shared" si="34"/>
        <v>65.109100570965524</v>
      </c>
      <c r="N755" s="3">
        <v>182.7</v>
      </c>
      <c r="O755" s="5">
        <f t="shared" si="35"/>
        <v>35.637165063473198</v>
      </c>
      <c r="P755" s="2" t="s">
        <v>36</v>
      </c>
    </row>
    <row r="756" spans="1:16" x14ac:dyDescent="0.2">
      <c r="A756" s="2" t="s">
        <v>1136</v>
      </c>
      <c r="B756" s="2" t="s">
        <v>1111</v>
      </c>
      <c r="C756" s="2" t="s">
        <v>26</v>
      </c>
      <c r="D756" s="2" t="s">
        <v>27</v>
      </c>
      <c r="E756" s="2" t="s">
        <v>97</v>
      </c>
      <c r="F756" s="2" t="s">
        <v>50</v>
      </c>
      <c r="G756" s="2" t="s">
        <v>35</v>
      </c>
      <c r="H756" s="3">
        <v>16584</v>
      </c>
      <c r="I756" s="4">
        <v>25</v>
      </c>
      <c r="J756" s="5">
        <v>4.5599999999999996</v>
      </c>
      <c r="K756" s="4">
        <v>70</v>
      </c>
      <c r="L756" s="3">
        <f t="shared" si="33"/>
        <v>4975.2000000000007</v>
      </c>
      <c r="M756" s="3">
        <f t="shared" si="34"/>
        <v>64.921468289271715</v>
      </c>
      <c r="N756" s="3">
        <v>294.39999999999998</v>
      </c>
      <c r="O756" s="5">
        <f t="shared" si="35"/>
        <v>22.052129174345016</v>
      </c>
      <c r="P756" s="2" t="s">
        <v>36</v>
      </c>
    </row>
    <row r="757" spans="1:16" x14ac:dyDescent="0.2">
      <c r="A757" s="2" t="s">
        <v>1137</v>
      </c>
      <c r="B757" s="2" t="s">
        <v>826</v>
      </c>
      <c r="C757" s="2" t="s">
        <v>142</v>
      </c>
      <c r="D757" s="2" t="s">
        <v>143</v>
      </c>
      <c r="E757" s="2" t="s">
        <v>64</v>
      </c>
      <c r="F757" s="2" t="s">
        <v>34</v>
      </c>
      <c r="G757" s="2" t="s">
        <v>22</v>
      </c>
      <c r="H757" s="3">
        <v>16296</v>
      </c>
      <c r="I757" s="4">
        <v>25</v>
      </c>
      <c r="J757" s="5">
        <v>5.21</v>
      </c>
      <c r="K757" s="4">
        <v>70</v>
      </c>
      <c r="L757" s="3">
        <f t="shared" si="33"/>
        <v>4888.8000000000011</v>
      </c>
      <c r="M757" s="3">
        <f t="shared" si="34"/>
        <v>68.088455922043181</v>
      </c>
      <c r="N757" s="3">
        <v>262.2</v>
      </c>
      <c r="O757" s="5">
        <f t="shared" si="35"/>
        <v>25.968137270039353</v>
      </c>
      <c r="P757" s="2" t="s">
        <v>36</v>
      </c>
    </row>
    <row r="758" spans="1:16" x14ac:dyDescent="0.2">
      <c r="A758" s="2" t="s">
        <v>1138</v>
      </c>
      <c r="B758" s="2" t="s">
        <v>1139</v>
      </c>
      <c r="C758" s="2" t="s">
        <v>47</v>
      </c>
      <c r="D758" s="2" t="s">
        <v>48</v>
      </c>
      <c r="E758" s="2" t="s">
        <v>88</v>
      </c>
      <c r="F758" s="2" t="s">
        <v>50</v>
      </c>
      <c r="G758" s="2" t="s">
        <v>44</v>
      </c>
      <c r="H758" s="3">
        <v>14315</v>
      </c>
      <c r="I758" s="4">
        <v>25</v>
      </c>
      <c r="J758" s="5">
        <v>4.1900000000000004</v>
      </c>
      <c r="K758" s="4">
        <v>85</v>
      </c>
      <c r="L758" s="3">
        <f t="shared" si="33"/>
        <v>2147.2500000000005</v>
      </c>
      <c r="M758" s="3">
        <f t="shared" si="34"/>
        <v>65.509230113886957</v>
      </c>
      <c r="N758" s="3">
        <v>181</v>
      </c>
      <c r="O758" s="5">
        <f t="shared" si="35"/>
        <v>36.192944814302187</v>
      </c>
      <c r="P758" s="2" t="s">
        <v>36</v>
      </c>
    </row>
    <row r="759" spans="1:16" x14ac:dyDescent="0.2">
      <c r="A759" s="2" t="s">
        <v>1140</v>
      </c>
      <c r="B759" s="2" t="s">
        <v>686</v>
      </c>
      <c r="C759" s="2" t="s">
        <v>146</v>
      </c>
      <c r="D759" s="2" t="s">
        <v>19</v>
      </c>
      <c r="E759" s="2" t="s">
        <v>156</v>
      </c>
      <c r="F759" s="2" t="s">
        <v>59</v>
      </c>
      <c r="G759" s="2" t="s">
        <v>44</v>
      </c>
      <c r="H759" s="3">
        <v>4360</v>
      </c>
      <c r="I759" s="4">
        <v>15</v>
      </c>
      <c r="J759" s="5">
        <v>5.71</v>
      </c>
      <c r="K759" s="4">
        <v>70</v>
      </c>
      <c r="L759" s="3">
        <f t="shared" si="33"/>
        <v>1308.0000000000002</v>
      </c>
      <c r="M759" s="3">
        <f t="shared" si="34"/>
        <v>25.278792276405643</v>
      </c>
      <c r="N759" s="3">
        <v>52.2</v>
      </c>
      <c r="O759" s="5">
        <f t="shared" si="35"/>
        <v>48.426805127213875</v>
      </c>
      <c r="P759" s="2" t="s">
        <v>36</v>
      </c>
    </row>
    <row r="760" spans="1:16" x14ac:dyDescent="0.2">
      <c r="A760" s="2" t="s">
        <v>1141</v>
      </c>
      <c r="B760" s="2" t="s">
        <v>164</v>
      </c>
      <c r="C760" s="2" t="s">
        <v>26</v>
      </c>
      <c r="D760" s="2" t="s">
        <v>27</v>
      </c>
      <c r="E760" s="2" t="s">
        <v>58</v>
      </c>
      <c r="F760" s="2" t="s">
        <v>34</v>
      </c>
      <c r="G760" s="2" t="s">
        <v>98</v>
      </c>
      <c r="H760" s="3">
        <v>13513</v>
      </c>
      <c r="I760" s="4">
        <v>30</v>
      </c>
      <c r="J760" s="5">
        <v>5.32</v>
      </c>
      <c r="K760" s="4">
        <v>85</v>
      </c>
      <c r="L760" s="3">
        <f t="shared" si="33"/>
        <v>2026.9500000000003</v>
      </c>
      <c r="M760" s="3">
        <f t="shared" si="34"/>
        <v>63.925301192214107</v>
      </c>
      <c r="N760" s="3">
        <v>208.3</v>
      </c>
      <c r="O760" s="5">
        <f t="shared" si="35"/>
        <v>30.689054821034134</v>
      </c>
      <c r="P760" s="2" t="s">
        <v>36</v>
      </c>
    </row>
    <row r="761" spans="1:16" x14ac:dyDescent="0.2">
      <c r="A761" s="2" t="s">
        <v>1142</v>
      </c>
      <c r="B761" s="2" t="s">
        <v>183</v>
      </c>
      <c r="C761" s="2" t="s">
        <v>32</v>
      </c>
      <c r="D761" s="2" t="s">
        <v>32</v>
      </c>
      <c r="E761" s="2" t="s">
        <v>74</v>
      </c>
      <c r="F761" s="2" t="s">
        <v>34</v>
      </c>
      <c r="G761" s="2" t="s">
        <v>35</v>
      </c>
      <c r="H761" s="3">
        <v>17509</v>
      </c>
      <c r="I761" s="4">
        <v>20</v>
      </c>
      <c r="J761" s="5">
        <v>4.5199999999999996</v>
      </c>
      <c r="K761" s="4">
        <v>80</v>
      </c>
      <c r="L761" s="3">
        <f t="shared" si="33"/>
        <v>3501.7999999999993</v>
      </c>
      <c r="M761" s="3">
        <f t="shared" si="34"/>
        <v>88.767754566545477</v>
      </c>
      <c r="N761" s="3">
        <v>197.7</v>
      </c>
      <c r="O761" s="5">
        <f t="shared" si="35"/>
        <v>44.900229927438282</v>
      </c>
      <c r="P761" s="2" t="s">
        <v>23</v>
      </c>
    </row>
    <row r="762" spans="1:16" x14ac:dyDescent="0.2">
      <c r="A762" s="2" t="s">
        <v>1143</v>
      </c>
      <c r="B762" s="2" t="s">
        <v>558</v>
      </c>
      <c r="C762" s="2" t="s">
        <v>146</v>
      </c>
      <c r="D762" s="2" t="s">
        <v>19</v>
      </c>
      <c r="E762" s="2" t="s">
        <v>58</v>
      </c>
      <c r="F762" s="2" t="s">
        <v>28</v>
      </c>
      <c r="G762" s="2" t="s">
        <v>98</v>
      </c>
      <c r="H762" s="3">
        <v>11532</v>
      </c>
      <c r="I762" s="4">
        <v>30</v>
      </c>
      <c r="J762" s="5">
        <v>4.09</v>
      </c>
      <c r="K762" s="4">
        <v>80</v>
      </c>
      <c r="L762" s="3">
        <f t="shared" si="33"/>
        <v>2306.3999999999996</v>
      </c>
      <c r="M762" s="3">
        <f t="shared" si="34"/>
        <v>44.524447865713334</v>
      </c>
      <c r="N762" s="3">
        <v>130.80000000000001</v>
      </c>
      <c r="O762" s="5">
        <f t="shared" si="35"/>
        <v>34.040097756661567</v>
      </c>
      <c r="P762" s="2" t="s">
        <v>36</v>
      </c>
    </row>
    <row r="763" spans="1:16" x14ac:dyDescent="0.2">
      <c r="A763" s="2" t="s">
        <v>1144</v>
      </c>
      <c r="B763" s="2" t="s">
        <v>46</v>
      </c>
      <c r="C763" s="2" t="s">
        <v>67</v>
      </c>
      <c r="D763" s="2" t="s">
        <v>67</v>
      </c>
      <c r="E763" s="2" t="s">
        <v>68</v>
      </c>
      <c r="F763" s="2" t="s">
        <v>21</v>
      </c>
      <c r="G763" s="2" t="s">
        <v>35</v>
      </c>
      <c r="H763" s="3">
        <v>1511</v>
      </c>
      <c r="I763" s="4">
        <v>20</v>
      </c>
      <c r="J763" s="5">
        <v>5.43</v>
      </c>
      <c r="K763" s="4">
        <v>90</v>
      </c>
      <c r="L763" s="3">
        <f t="shared" si="33"/>
        <v>151.09999999999997</v>
      </c>
      <c r="M763" s="3">
        <f t="shared" si="34"/>
        <v>9.3008963575159509</v>
      </c>
      <c r="N763" s="3">
        <v>16.8</v>
      </c>
      <c r="O763" s="5">
        <f t="shared" si="35"/>
        <v>55.362478318547325</v>
      </c>
      <c r="P763" s="2" t="s">
        <v>36</v>
      </c>
    </row>
    <row r="764" spans="1:16" x14ac:dyDescent="0.2">
      <c r="A764" s="2" t="s">
        <v>1145</v>
      </c>
      <c r="B764" s="2" t="s">
        <v>396</v>
      </c>
      <c r="C764" s="2" t="s">
        <v>131</v>
      </c>
      <c r="D764" s="2" t="s">
        <v>27</v>
      </c>
      <c r="E764" s="2" t="s">
        <v>114</v>
      </c>
      <c r="F764" s="2" t="s">
        <v>21</v>
      </c>
      <c r="G764" s="2" t="s">
        <v>35</v>
      </c>
      <c r="H764" s="3">
        <v>14976</v>
      </c>
      <c r="I764" s="4">
        <v>30</v>
      </c>
      <c r="J764" s="5">
        <v>4.5</v>
      </c>
      <c r="K764" s="4">
        <v>80</v>
      </c>
      <c r="L764" s="3">
        <f t="shared" si="33"/>
        <v>2995.1999999999994</v>
      </c>
      <c r="M764" s="3">
        <f t="shared" si="34"/>
        <v>60.70495359961911</v>
      </c>
      <c r="N764" s="3">
        <v>163.4</v>
      </c>
      <c r="O764" s="5">
        <f t="shared" si="35"/>
        <v>37.151134393891745</v>
      </c>
      <c r="P764" s="2" t="s">
        <v>29</v>
      </c>
    </row>
    <row r="765" spans="1:16" x14ac:dyDescent="0.2">
      <c r="A765" s="2" t="s">
        <v>1146</v>
      </c>
      <c r="B765" s="2" t="s">
        <v>38</v>
      </c>
      <c r="C765" s="2" t="s">
        <v>56</v>
      </c>
      <c r="D765" s="2" t="s">
        <v>57</v>
      </c>
      <c r="E765" s="2" t="s">
        <v>88</v>
      </c>
      <c r="F765" s="2" t="s">
        <v>21</v>
      </c>
      <c r="G765" s="2" t="s">
        <v>44</v>
      </c>
      <c r="H765" s="3">
        <v>12941</v>
      </c>
      <c r="I765" s="4">
        <v>15</v>
      </c>
      <c r="J765" s="5">
        <v>4.47</v>
      </c>
      <c r="K765" s="4">
        <v>85</v>
      </c>
      <c r="L765" s="3">
        <f t="shared" si="33"/>
        <v>1941.1500000000003</v>
      </c>
      <c r="M765" s="3">
        <f t="shared" si="34"/>
        <v>83.979560024611175</v>
      </c>
      <c r="N765" s="3">
        <v>170.6</v>
      </c>
      <c r="O765" s="5">
        <f t="shared" si="35"/>
        <v>49.226002359092128</v>
      </c>
      <c r="P765" s="2" t="s">
        <v>36</v>
      </c>
    </row>
    <row r="766" spans="1:16" x14ac:dyDescent="0.2">
      <c r="A766" s="2" t="s">
        <v>1147</v>
      </c>
      <c r="B766" s="2" t="s">
        <v>435</v>
      </c>
      <c r="C766" s="2" t="s">
        <v>91</v>
      </c>
      <c r="D766" s="2" t="s">
        <v>92</v>
      </c>
      <c r="E766" s="2" t="s">
        <v>49</v>
      </c>
      <c r="F766" s="2" t="s">
        <v>21</v>
      </c>
      <c r="G766" s="2" t="s">
        <v>44</v>
      </c>
      <c r="H766" s="3">
        <v>8513</v>
      </c>
      <c r="I766" s="4">
        <v>25</v>
      </c>
      <c r="J766" s="5">
        <v>5.43</v>
      </c>
      <c r="K766" s="4">
        <v>80</v>
      </c>
      <c r="L766" s="3">
        <f t="shared" si="33"/>
        <v>1702.5999999999997</v>
      </c>
      <c r="M766" s="3">
        <f t="shared" si="34"/>
        <v>41.537594559484795</v>
      </c>
      <c r="N766" s="3">
        <v>125.6</v>
      </c>
      <c r="O766" s="5">
        <f t="shared" si="35"/>
        <v>33.071333247997444</v>
      </c>
      <c r="P766" s="2" t="s">
        <v>36</v>
      </c>
    </row>
    <row r="767" spans="1:16" x14ac:dyDescent="0.2">
      <c r="A767" s="2" t="s">
        <v>1148</v>
      </c>
      <c r="B767" s="2" t="s">
        <v>230</v>
      </c>
      <c r="C767" s="2" t="s">
        <v>84</v>
      </c>
      <c r="D767" s="2" t="s">
        <v>85</v>
      </c>
      <c r="E767" s="2" t="s">
        <v>114</v>
      </c>
      <c r="F767" s="2" t="s">
        <v>28</v>
      </c>
      <c r="G767" s="2" t="s">
        <v>44</v>
      </c>
      <c r="H767" s="3">
        <v>10623</v>
      </c>
      <c r="I767" s="4">
        <v>20</v>
      </c>
      <c r="J767" s="5">
        <v>5.69</v>
      </c>
      <c r="K767" s="4">
        <v>70</v>
      </c>
      <c r="L767" s="3">
        <f t="shared" si="33"/>
        <v>3186.9000000000005</v>
      </c>
      <c r="M767" s="3">
        <f t="shared" si="34"/>
        <v>51.953245990151601</v>
      </c>
      <c r="N767" s="3">
        <v>112.7</v>
      </c>
      <c r="O767" s="5">
        <f t="shared" si="35"/>
        <v>46.098709840418458</v>
      </c>
      <c r="P767" s="2" t="s">
        <v>36</v>
      </c>
    </row>
    <row r="768" spans="1:16" x14ac:dyDescent="0.2">
      <c r="A768" s="2" t="s">
        <v>1149</v>
      </c>
      <c r="B768" s="2" t="s">
        <v>1150</v>
      </c>
      <c r="C768" s="2" t="s">
        <v>39</v>
      </c>
      <c r="D768" s="2" t="s">
        <v>40</v>
      </c>
      <c r="E768" s="2" t="s">
        <v>49</v>
      </c>
      <c r="F768" s="2" t="s">
        <v>34</v>
      </c>
      <c r="G768" s="2" t="s">
        <v>35</v>
      </c>
      <c r="H768" s="3">
        <v>14064</v>
      </c>
      <c r="I768" s="4">
        <v>20</v>
      </c>
      <c r="J768" s="5">
        <v>4.71</v>
      </c>
      <c r="K768" s="4">
        <v>80</v>
      </c>
      <c r="L768" s="3">
        <f t="shared" si="33"/>
        <v>2812.7999999999993</v>
      </c>
      <c r="M768" s="3">
        <f t="shared" si="34"/>
        <v>72.462352247914552</v>
      </c>
      <c r="N768" s="3">
        <v>148.69999999999999</v>
      </c>
      <c r="O768" s="5">
        <f t="shared" si="35"/>
        <v>48.730566407474484</v>
      </c>
      <c r="P768" s="2" t="s">
        <v>36</v>
      </c>
    </row>
    <row r="769" spans="1:16" x14ac:dyDescent="0.2">
      <c r="A769" s="2" t="s">
        <v>1151</v>
      </c>
      <c r="B769" s="2" t="s">
        <v>566</v>
      </c>
      <c r="C769" s="2" t="s">
        <v>72</v>
      </c>
      <c r="D769" s="2" t="s">
        <v>73</v>
      </c>
      <c r="E769" s="2" t="s">
        <v>107</v>
      </c>
      <c r="F769" s="2" t="s">
        <v>59</v>
      </c>
      <c r="G769" s="2" t="s">
        <v>44</v>
      </c>
      <c r="H769" s="3">
        <v>13815</v>
      </c>
      <c r="I769" s="4">
        <v>20</v>
      </c>
      <c r="J769" s="5">
        <v>5.37</v>
      </c>
      <c r="K769" s="4">
        <v>90</v>
      </c>
      <c r="L769" s="3">
        <f t="shared" si="33"/>
        <v>1381.4999999999998</v>
      </c>
      <c r="M769" s="3">
        <f t="shared" si="34"/>
        <v>84.618132159050717</v>
      </c>
      <c r="N769" s="3">
        <v>179.3</v>
      </c>
      <c r="O769" s="5">
        <f t="shared" si="35"/>
        <v>47.193604104322759</v>
      </c>
      <c r="P769" s="2" t="s">
        <v>36</v>
      </c>
    </row>
    <row r="770" spans="1:16" x14ac:dyDescent="0.2">
      <c r="A770" s="2" t="s">
        <v>1152</v>
      </c>
      <c r="B770" s="2" t="s">
        <v>31</v>
      </c>
      <c r="C770" s="2" t="s">
        <v>77</v>
      </c>
      <c r="D770" s="2" t="s">
        <v>19</v>
      </c>
      <c r="E770" s="2" t="s">
        <v>74</v>
      </c>
      <c r="F770" s="2" t="s">
        <v>50</v>
      </c>
      <c r="G770" s="2" t="s">
        <v>22</v>
      </c>
      <c r="H770" s="3">
        <v>5214</v>
      </c>
      <c r="I770" s="4">
        <v>20</v>
      </c>
      <c r="J770" s="5">
        <v>5.04</v>
      </c>
      <c r="K770" s="4">
        <v>80</v>
      </c>
      <c r="L770" s="3">
        <f t="shared" ref="L770:L833" si="36">H770*(1-K770/100)</f>
        <v>1042.7999999999997</v>
      </c>
      <c r="M770" s="3">
        <f t="shared" ref="M770:M833" si="37">PMT(J770/100/12, I770*12, -(H770*K770/100))</f>
        <v>27.620327593288831</v>
      </c>
      <c r="N770" s="3">
        <v>61.3</v>
      </c>
      <c r="O770" s="5">
        <f t="shared" ref="O770:O833" si="38">IFERROR(M770/N770*100,0)</f>
        <v>45.057630657893689</v>
      </c>
      <c r="P770" s="2" t="s">
        <v>36</v>
      </c>
    </row>
    <row r="771" spans="1:16" x14ac:dyDescent="0.2">
      <c r="A771" s="2" t="s">
        <v>1153</v>
      </c>
      <c r="B771" s="2" t="s">
        <v>821</v>
      </c>
      <c r="C771" s="2" t="s">
        <v>56</v>
      </c>
      <c r="D771" s="2" t="s">
        <v>57</v>
      </c>
      <c r="E771" s="2" t="s">
        <v>49</v>
      </c>
      <c r="F771" s="2" t="s">
        <v>21</v>
      </c>
      <c r="G771" s="2" t="s">
        <v>44</v>
      </c>
      <c r="H771" s="3">
        <v>1819</v>
      </c>
      <c r="I771" s="4">
        <v>20</v>
      </c>
      <c r="J771" s="5">
        <v>5.5</v>
      </c>
      <c r="K771" s="4">
        <v>80</v>
      </c>
      <c r="L771" s="3">
        <f t="shared" si="36"/>
        <v>363.7999999999999</v>
      </c>
      <c r="M771" s="3">
        <f t="shared" si="37"/>
        <v>10.010136103967639</v>
      </c>
      <c r="N771" s="3">
        <v>23.1</v>
      </c>
      <c r="O771" s="5">
        <f t="shared" si="38"/>
        <v>43.333922527998439</v>
      </c>
      <c r="P771" s="2" t="s">
        <v>36</v>
      </c>
    </row>
    <row r="772" spans="1:16" x14ac:dyDescent="0.2">
      <c r="A772" s="2" t="s">
        <v>1154</v>
      </c>
      <c r="B772" s="2" t="s">
        <v>534</v>
      </c>
      <c r="C772" s="2" t="s">
        <v>18</v>
      </c>
      <c r="D772" s="2" t="s">
        <v>19</v>
      </c>
      <c r="E772" s="2" t="s">
        <v>156</v>
      </c>
      <c r="F772" s="2" t="s">
        <v>34</v>
      </c>
      <c r="G772" s="2" t="s">
        <v>98</v>
      </c>
      <c r="H772" s="3">
        <v>2825</v>
      </c>
      <c r="I772" s="4">
        <v>15</v>
      </c>
      <c r="J772" s="5">
        <v>4.71</v>
      </c>
      <c r="K772" s="4">
        <v>80</v>
      </c>
      <c r="L772" s="3">
        <f t="shared" si="36"/>
        <v>564.99999999999989</v>
      </c>
      <c r="M772" s="3">
        <f t="shared" si="37"/>
        <v>17.532389531809923</v>
      </c>
      <c r="N772" s="3">
        <v>45.4</v>
      </c>
      <c r="O772" s="5">
        <f t="shared" si="38"/>
        <v>38.617598087687057</v>
      </c>
      <c r="P772" s="2" t="s">
        <v>36</v>
      </c>
    </row>
    <row r="773" spans="1:16" x14ac:dyDescent="0.2">
      <c r="A773" s="2" t="s">
        <v>1155</v>
      </c>
      <c r="B773" s="2" t="s">
        <v>428</v>
      </c>
      <c r="C773" s="2" t="s">
        <v>84</v>
      </c>
      <c r="D773" s="2" t="s">
        <v>85</v>
      </c>
      <c r="E773" s="2" t="s">
        <v>64</v>
      </c>
      <c r="F773" s="2" t="s">
        <v>59</v>
      </c>
      <c r="G773" s="2" t="s">
        <v>35</v>
      </c>
      <c r="H773" s="3">
        <v>10278</v>
      </c>
      <c r="I773" s="4">
        <v>15</v>
      </c>
      <c r="J773" s="5">
        <v>5.04</v>
      </c>
      <c r="K773" s="4">
        <v>70</v>
      </c>
      <c r="L773" s="3">
        <f t="shared" si="36"/>
        <v>3083.4000000000005</v>
      </c>
      <c r="M773" s="3">
        <f t="shared" si="37"/>
        <v>57.04446358590819</v>
      </c>
      <c r="N773" s="3">
        <v>183</v>
      </c>
      <c r="O773" s="5">
        <f t="shared" si="38"/>
        <v>31.171838025086441</v>
      </c>
      <c r="P773" s="2" t="s">
        <v>36</v>
      </c>
    </row>
    <row r="774" spans="1:16" x14ac:dyDescent="0.2">
      <c r="A774" s="2" t="s">
        <v>1156</v>
      </c>
      <c r="B774" s="2" t="s">
        <v>198</v>
      </c>
      <c r="C774" s="2" t="s">
        <v>142</v>
      </c>
      <c r="D774" s="2" t="s">
        <v>143</v>
      </c>
      <c r="E774" s="2" t="s">
        <v>33</v>
      </c>
      <c r="F774" s="2" t="s">
        <v>59</v>
      </c>
      <c r="G774" s="2" t="s">
        <v>22</v>
      </c>
      <c r="H774" s="3">
        <v>2253</v>
      </c>
      <c r="I774" s="4">
        <v>20</v>
      </c>
      <c r="J774" s="5">
        <v>4.46</v>
      </c>
      <c r="K774" s="4">
        <v>80</v>
      </c>
      <c r="L774" s="3">
        <f t="shared" si="36"/>
        <v>450.59999999999991</v>
      </c>
      <c r="M774" s="3">
        <f t="shared" si="37"/>
        <v>11.363992231492016</v>
      </c>
      <c r="N774" s="3">
        <v>23.9</v>
      </c>
      <c r="O774" s="5">
        <f t="shared" si="38"/>
        <v>47.548084650594213</v>
      </c>
      <c r="P774" s="2" t="s">
        <v>36</v>
      </c>
    </row>
    <row r="775" spans="1:16" x14ac:dyDescent="0.2">
      <c r="A775" s="2" t="s">
        <v>1157</v>
      </c>
      <c r="B775" s="2" t="s">
        <v>907</v>
      </c>
      <c r="C775" s="2" t="s">
        <v>18</v>
      </c>
      <c r="D775" s="2" t="s">
        <v>19</v>
      </c>
      <c r="E775" s="2" t="s">
        <v>88</v>
      </c>
      <c r="F775" s="2" t="s">
        <v>28</v>
      </c>
      <c r="G775" s="2" t="s">
        <v>22</v>
      </c>
      <c r="H775" s="3">
        <v>2632</v>
      </c>
      <c r="I775" s="4">
        <v>30</v>
      </c>
      <c r="J775" s="5">
        <v>5.24</v>
      </c>
      <c r="K775" s="4">
        <v>75</v>
      </c>
      <c r="L775" s="3">
        <f t="shared" si="36"/>
        <v>658</v>
      </c>
      <c r="M775" s="3">
        <f t="shared" si="37"/>
        <v>10.888277761523796</v>
      </c>
      <c r="N775" s="3">
        <v>41.9</v>
      </c>
      <c r="O775" s="5">
        <f t="shared" si="38"/>
        <v>25.986343106262044</v>
      </c>
      <c r="P775" s="2" t="s">
        <v>69</v>
      </c>
    </row>
    <row r="776" spans="1:16" x14ac:dyDescent="0.2">
      <c r="A776" s="2" t="s">
        <v>1158</v>
      </c>
      <c r="B776" s="2" t="s">
        <v>396</v>
      </c>
      <c r="C776" s="2" t="s">
        <v>32</v>
      </c>
      <c r="D776" s="2" t="s">
        <v>32</v>
      </c>
      <c r="E776" s="2" t="s">
        <v>33</v>
      </c>
      <c r="F776" s="2" t="s">
        <v>50</v>
      </c>
      <c r="G776" s="2" t="s">
        <v>35</v>
      </c>
      <c r="H776" s="3">
        <v>1637</v>
      </c>
      <c r="I776" s="4">
        <v>15</v>
      </c>
      <c r="J776" s="5">
        <v>3.92</v>
      </c>
      <c r="K776" s="4">
        <v>70</v>
      </c>
      <c r="L776" s="3">
        <f t="shared" si="36"/>
        <v>491.10000000000008</v>
      </c>
      <c r="M776" s="3">
        <f t="shared" si="37"/>
        <v>8.4302183389262542</v>
      </c>
      <c r="N776" s="3">
        <v>21.7</v>
      </c>
      <c r="O776" s="5">
        <f t="shared" si="38"/>
        <v>38.848932437448177</v>
      </c>
      <c r="P776" s="2" t="s">
        <v>36</v>
      </c>
    </row>
    <row r="777" spans="1:16" x14ac:dyDescent="0.2">
      <c r="A777" s="2" t="s">
        <v>1159</v>
      </c>
      <c r="B777" s="2" t="s">
        <v>1160</v>
      </c>
      <c r="C777" s="2" t="s">
        <v>39</v>
      </c>
      <c r="D777" s="2" t="s">
        <v>40</v>
      </c>
      <c r="E777" s="2" t="s">
        <v>177</v>
      </c>
      <c r="F777" s="2" t="s">
        <v>28</v>
      </c>
      <c r="G777" s="2" t="s">
        <v>35</v>
      </c>
      <c r="H777" s="3">
        <v>7095</v>
      </c>
      <c r="I777" s="4">
        <v>20</v>
      </c>
      <c r="J777" s="5">
        <v>5.09</v>
      </c>
      <c r="K777" s="4">
        <v>85</v>
      </c>
      <c r="L777" s="3">
        <f t="shared" si="36"/>
        <v>1064.2500000000002</v>
      </c>
      <c r="M777" s="3">
        <f t="shared" si="37"/>
        <v>40.100727197385062</v>
      </c>
      <c r="N777" s="3">
        <v>80.400000000000006</v>
      </c>
      <c r="O777" s="5">
        <f t="shared" si="38"/>
        <v>49.876526364906795</v>
      </c>
      <c r="P777" s="2" t="s">
        <v>36</v>
      </c>
    </row>
    <row r="778" spans="1:16" x14ac:dyDescent="0.2">
      <c r="A778" s="2" t="s">
        <v>1161</v>
      </c>
      <c r="B778" s="2" t="s">
        <v>1111</v>
      </c>
      <c r="C778" s="2" t="s">
        <v>131</v>
      </c>
      <c r="D778" s="2" t="s">
        <v>27</v>
      </c>
      <c r="E778" s="2" t="s">
        <v>41</v>
      </c>
      <c r="F778" s="2" t="s">
        <v>59</v>
      </c>
      <c r="G778" s="2" t="s">
        <v>35</v>
      </c>
      <c r="H778" s="3">
        <v>4580</v>
      </c>
      <c r="I778" s="4">
        <v>25</v>
      </c>
      <c r="J778" s="5">
        <v>5.04</v>
      </c>
      <c r="K778" s="4">
        <v>85</v>
      </c>
      <c r="L778" s="3">
        <f t="shared" si="36"/>
        <v>687.00000000000011</v>
      </c>
      <c r="M778" s="3">
        <f t="shared" si="37"/>
        <v>22.848908957134871</v>
      </c>
      <c r="N778" s="3">
        <v>52.2</v>
      </c>
      <c r="O778" s="5">
        <f t="shared" si="38"/>
        <v>43.77185623972197</v>
      </c>
      <c r="P778" s="2" t="s">
        <v>36</v>
      </c>
    </row>
    <row r="779" spans="1:16" x14ac:dyDescent="0.2">
      <c r="A779" s="2" t="s">
        <v>1162</v>
      </c>
      <c r="B779" s="2" t="s">
        <v>520</v>
      </c>
      <c r="C779" s="2" t="s">
        <v>153</v>
      </c>
      <c r="D779" s="2" t="s">
        <v>19</v>
      </c>
      <c r="E779" s="2" t="s">
        <v>20</v>
      </c>
      <c r="F779" s="2" t="s">
        <v>59</v>
      </c>
      <c r="G779" s="2" t="s">
        <v>44</v>
      </c>
      <c r="H779" s="3">
        <v>16688</v>
      </c>
      <c r="I779" s="4">
        <v>25</v>
      </c>
      <c r="J779" s="5">
        <v>4.87</v>
      </c>
      <c r="K779" s="4">
        <v>80</v>
      </c>
      <c r="L779" s="3">
        <f t="shared" si="36"/>
        <v>3337.5999999999995</v>
      </c>
      <c r="M779" s="3">
        <f t="shared" si="37"/>
        <v>77.037279165829929</v>
      </c>
      <c r="N779" s="3">
        <v>285.60000000000002</v>
      </c>
      <c r="O779" s="5">
        <f t="shared" si="38"/>
        <v>26.973837242937648</v>
      </c>
      <c r="P779" s="2" t="s">
        <v>36</v>
      </c>
    </row>
    <row r="780" spans="1:16" x14ac:dyDescent="0.2">
      <c r="A780" s="2" t="s">
        <v>1163</v>
      </c>
      <c r="B780" s="2" t="s">
        <v>382</v>
      </c>
      <c r="C780" s="2" t="s">
        <v>53</v>
      </c>
      <c r="D780" s="2" t="s">
        <v>19</v>
      </c>
      <c r="E780" s="2" t="s">
        <v>107</v>
      </c>
      <c r="F780" s="2" t="s">
        <v>50</v>
      </c>
      <c r="G780" s="2" t="s">
        <v>44</v>
      </c>
      <c r="H780" s="3">
        <v>7955</v>
      </c>
      <c r="I780" s="4">
        <v>15</v>
      </c>
      <c r="J780" s="5">
        <v>5.57</v>
      </c>
      <c r="K780" s="4">
        <v>70</v>
      </c>
      <c r="L780" s="3">
        <f t="shared" si="36"/>
        <v>2386.5000000000005</v>
      </c>
      <c r="M780" s="3">
        <f t="shared" si="37"/>
        <v>45.706401629349401</v>
      </c>
      <c r="N780" s="3">
        <v>118.5</v>
      </c>
      <c r="O780" s="5">
        <f t="shared" si="38"/>
        <v>38.570803062742108</v>
      </c>
      <c r="P780" s="2" t="s">
        <v>29</v>
      </c>
    </row>
    <row r="781" spans="1:16" x14ac:dyDescent="0.2">
      <c r="A781" s="2" t="s">
        <v>1164</v>
      </c>
      <c r="B781" s="2" t="s">
        <v>592</v>
      </c>
      <c r="C781" s="2" t="s">
        <v>56</v>
      </c>
      <c r="D781" s="2" t="s">
        <v>57</v>
      </c>
      <c r="E781" s="2" t="s">
        <v>64</v>
      </c>
      <c r="F781" s="2" t="s">
        <v>59</v>
      </c>
      <c r="G781" s="2" t="s">
        <v>22</v>
      </c>
      <c r="H781" s="3">
        <v>13053</v>
      </c>
      <c r="I781" s="4">
        <v>25</v>
      </c>
      <c r="J781" s="5">
        <v>4.26</v>
      </c>
      <c r="K781" s="4">
        <v>70</v>
      </c>
      <c r="L781" s="3">
        <f t="shared" si="36"/>
        <v>3915.9000000000005</v>
      </c>
      <c r="M781" s="3">
        <f t="shared" si="37"/>
        <v>49.550327485403855</v>
      </c>
      <c r="N781" s="3">
        <v>142.30000000000001</v>
      </c>
      <c r="O781" s="5">
        <f t="shared" si="38"/>
        <v>34.82103126170334</v>
      </c>
      <c r="P781" s="2" t="s">
        <v>36</v>
      </c>
    </row>
    <row r="782" spans="1:16" x14ac:dyDescent="0.2">
      <c r="A782" s="2" t="s">
        <v>1165</v>
      </c>
      <c r="B782" s="2" t="s">
        <v>170</v>
      </c>
      <c r="C782" s="2" t="s">
        <v>62</v>
      </c>
      <c r="D782" s="2" t="s">
        <v>63</v>
      </c>
      <c r="E782" s="2" t="s">
        <v>49</v>
      </c>
      <c r="F782" s="2" t="s">
        <v>50</v>
      </c>
      <c r="G782" s="2" t="s">
        <v>35</v>
      </c>
      <c r="H782" s="3">
        <v>15335</v>
      </c>
      <c r="I782" s="4">
        <v>30</v>
      </c>
      <c r="J782" s="5">
        <v>4.03</v>
      </c>
      <c r="K782" s="4">
        <v>75</v>
      </c>
      <c r="L782" s="3">
        <f t="shared" si="36"/>
        <v>3833.75</v>
      </c>
      <c r="M782" s="3">
        <f t="shared" si="37"/>
        <v>55.10783124454349</v>
      </c>
      <c r="N782" s="3">
        <v>179.9</v>
      </c>
      <c r="O782" s="5">
        <f t="shared" si="38"/>
        <v>30.632479846883541</v>
      </c>
      <c r="P782" s="2" t="s">
        <v>36</v>
      </c>
    </row>
    <row r="783" spans="1:16" x14ac:dyDescent="0.2">
      <c r="A783" s="2" t="s">
        <v>1166</v>
      </c>
      <c r="B783" s="2" t="s">
        <v>330</v>
      </c>
      <c r="C783" s="2" t="s">
        <v>18</v>
      </c>
      <c r="D783" s="2" t="s">
        <v>19</v>
      </c>
      <c r="E783" s="2" t="s">
        <v>74</v>
      </c>
      <c r="F783" s="2" t="s">
        <v>28</v>
      </c>
      <c r="G783" s="2" t="s">
        <v>22</v>
      </c>
      <c r="H783" s="3">
        <v>7164</v>
      </c>
      <c r="I783" s="4">
        <v>30</v>
      </c>
      <c r="J783" s="5">
        <v>4.4800000000000004</v>
      </c>
      <c r="K783" s="4">
        <v>80</v>
      </c>
      <c r="L783" s="3">
        <f t="shared" si="36"/>
        <v>1432.7999999999997</v>
      </c>
      <c r="M783" s="3">
        <f t="shared" si="37"/>
        <v>28.971081226809059</v>
      </c>
      <c r="N783" s="3">
        <v>75.900000000000006</v>
      </c>
      <c r="O783" s="5">
        <f t="shared" si="38"/>
        <v>38.170067492502049</v>
      </c>
      <c r="P783" s="2" t="s">
        <v>23</v>
      </c>
    </row>
    <row r="784" spans="1:16" x14ac:dyDescent="0.2">
      <c r="A784" s="2" t="s">
        <v>1167</v>
      </c>
      <c r="B784" s="2" t="s">
        <v>118</v>
      </c>
      <c r="C784" s="2" t="s">
        <v>84</v>
      </c>
      <c r="D784" s="2" t="s">
        <v>85</v>
      </c>
      <c r="E784" s="2" t="s">
        <v>81</v>
      </c>
      <c r="F784" s="2" t="s">
        <v>59</v>
      </c>
      <c r="G784" s="2" t="s">
        <v>44</v>
      </c>
      <c r="H784" s="3">
        <v>14699</v>
      </c>
      <c r="I784" s="4">
        <v>15</v>
      </c>
      <c r="J784" s="5">
        <v>5.79</v>
      </c>
      <c r="K784" s="4">
        <v>85</v>
      </c>
      <c r="L784" s="3">
        <f t="shared" si="36"/>
        <v>2204.8500000000004</v>
      </c>
      <c r="M784" s="3">
        <f t="shared" si="37"/>
        <v>104.0204850004213</v>
      </c>
      <c r="N784" s="3">
        <v>238.7</v>
      </c>
      <c r="O784" s="5">
        <f t="shared" si="38"/>
        <v>43.577915794060033</v>
      </c>
      <c r="P784" s="2" t="s">
        <v>36</v>
      </c>
    </row>
    <row r="785" spans="1:16" x14ac:dyDescent="0.2">
      <c r="A785" s="2" t="s">
        <v>1168</v>
      </c>
      <c r="B785" s="2" t="s">
        <v>514</v>
      </c>
      <c r="C785" s="2" t="s">
        <v>56</v>
      </c>
      <c r="D785" s="2" t="s">
        <v>57</v>
      </c>
      <c r="E785" s="2" t="s">
        <v>74</v>
      </c>
      <c r="F785" s="2" t="s">
        <v>59</v>
      </c>
      <c r="G785" s="2" t="s">
        <v>35</v>
      </c>
      <c r="H785" s="3">
        <v>11643</v>
      </c>
      <c r="I785" s="4">
        <v>25</v>
      </c>
      <c r="J785" s="5">
        <v>4.05</v>
      </c>
      <c r="K785" s="4">
        <v>80</v>
      </c>
      <c r="L785" s="3">
        <f t="shared" si="36"/>
        <v>2328.5999999999995</v>
      </c>
      <c r="M785" s="3">
        <f t="shared" si="37"/>
        <v>49.422348106897438</v>
      </c>
      <c r="N785" s="3">
        <v>129.19999999999999</v>
      </c>
      <c r="O785" s="5">
        <f t="shared" si="38"/>
        <v>38.252591414007306</v>
      </c>
      <c r="P785" s="2" t="s">
        <v>29</v>
      </c>
    </row>
    <row r="786" spans="1:16" x14ac:dyDescent="0.2">
      <c r="A786" s="2" t="s">
        <v>1169</v>
      </c>
      <c r="B786" s="2" t="s">
        <v>558</v>
      </c>
      <c r="C786" s="2" t="s">
        <v>72</v>
      </c>
      <c r="D786" s="2" t="s">
        <v>73</v>
      </c>
      <c r="E786" s="2" t="s">
        <v>107</v>
      </c>
      <c r="F786" s="2" t="s">
        <v>59</v>
      </c>
      <c r="G786" s="2" t="s">
        <v>44</v>
      </c>
      <c r="H786" s="3">
        <v>5180</v>
      </c>
      <c r="I786" s="4">
        <v>30</v>
      </c>
      <c r="J786" s="5">
        <v>5.28</v>
      </c>
      <c r="K786" s="4">
        <v>90</v>
      </c>
      <c r="L786" s="3">
        <f t="shared" si="36"/>
        <v>517.99999999999989</v>
      </c>
      <c r="M786" s="3">
        <f t="shared" si="37"/>
        <v>25.830431007374131</v>
      </c>
      <c r="N786" s="3">
        <v>61.1</v>
      </c>
      <c r="O786" s="5">
        <f t="shared" si="38"/>
        <v>42.275664496520669</v>
      </c>
      <c r="P786" s="2" t="s">
        <v>23</v>
      </c>
    </row>
    <row r="787" spans="1:16" x14ac:dyDescent="0.2">
      <c r="A787" s="2" t="s">
        <v>1170</v>
      </c>
      <c r="B787" s="2" t="s">
        <v>524</v>
      </c>
      <c r="C787" s="2" t="s">
        <v>119</v>
      </c>
      <c r="D787" s="2" t="s">
        <v>120</v>
      </c>
      <c r="E787" s="2" t="s">
        <v>64</v>
      </c>
      <c r="F787" s="2" t="s">
        <v>28</v>
      </c>
      <c r="G787" s="2" t="s">
        <v>44</v>
      </c>
      <c r="H787" s="3">
        <v>3505</v>
      </c>
      <c r="I787" s="4">
        <v>25</v>
      </c>
      <c r="J787" s="5">
        <v>4.37</v>
      </c>
      <c r="K787" s="4">
        <v>80</v>
      </c>
      <c r="L787" s="3">
        <f t="shared" si="36"/>
        <v>700.99999999999989</v>
      </c>
      <c r="M787" s="3">
        <f t="shared" si="37"/>
        <v>15.379364038490953</v>
      </c>
      <c r="N787" s="3">
        <v>37.6</v>
      </c>
      <c r="O787" s="5">
        <f t="shared" si="38"/>
        <v>40.902563932156788</v>
      </c>
      <c r="P787" s="2" t="s">
        <v>69</v>
      </c>
    </row>
    <row r="788" spans="1:16" x14ac:dyDescent="0.2">
      <c r="A788" s="2" t="s">
        <v>1171</v>
      </c>
      <c r="B788" s="2" t="s">
        <v>224</v>
      </c>
      <c r="C788" s="2" t="s">
        <v>84</v>
      </c>
      <c r="D788" s="2" t="s">
        <v>85</v>
      </c>
      <c r="E788" s="2" t="s">
        <v>81</v>
      </c>
      <c r="F788" s="2" t="s">
        <v>50</v>
      </c>
      <c r="G788" s="2" t="s">
        <v>44</v>
      </c>
      <c r="H788" s="3">
        <v>12664</v>
      </c>
      <c r="I788" s="4">
        <v>25</v>
      </c>
      <c r="J788" s="5">
        <v>4</v>
      </c>
      <c r="K788" s="4">
        <v>70</v>
      </c>
      <c r="L788" s="3">
        <f t="shared" si="36"/>
        <v>3799.2000000000007</v>
      </c>
      <c r="M788" s="3">
        <f t="shared" si="37"/>
        <v>46.79168021871736</v>
      </c>
      <c r="N788" s="3">
        <v>155.1</v>
      </c>
      <c r="O788" s="5">
        <f t="shared" si="38"/>
        <v>30.168717097819059</v>
      </c>
      <c r="P788" s="2" t="s">
        <v>36</v>
      </c>
    </row>
    <row r="789" spans="1:16" x14ac:dyDescent="0.2">
      <c r="A789" s="2" t="s">
        <v>1172</v>
      </c>
      <c r="B789" s="2" t="s">
        <v>192</v>
      </c>
      <c r="C789" s="2" t="s">
        <v>56</v>
      </c>
      <c r="D789" s="2" t="s">
        <v>57</v>
      </c>
      <c r="E789" s="2" t="s">
        <v>78</v>
      </c>
      <c r="F789" s="2" t="s">
        <v>28</v>
      </c>
      <c r="G789" s="2" t="s">
        <v>98</v>
      </c>
      <c r="H789" s="3">
        <v>10555</v>
      </c>
      <c r="I789" s="4">
        <v>20</v>
      </c>
      <c r="J789" s="5">
        <v>4.62</v>
      </c>
      <c r="K789" s="4">
        <v>70</v>
      </c>
      <c r="L789" s="3">
        <f t="shared" si="36"/>
        <v>3166.5000000000005</v>
      </c>
      <c r="M789" s="3">
        <f t="shared" si="37"/>
        <v>47.223244635499164</v>
      </c>
      <c r="N789" s="3">
        <v>142.30000000000001</v>
      </c>
      <c r="O789" s="5">
        <f t="shared" si="38"/>
        <v>33.185695457132226</v>
      </c>
      <c r="P789" s="2" t="s">
        <v>23</v>
      </c>
    </row>
    <row r="790" spans="1:16" x14ac:dyDescent="0.2">
      <c r="A790" s="2" t="s">
        <v>1173</v>
      </c>
      <c r="B790" s="2" t="s">
        <v>532</v>
      </c>
      <c r="C790" s="2" t="s">
        <v>146</v>
      </c>
      <c r="D790" s="2" t="s">
        <v>19</v>
      </c>
      <c r="E790" s="2" t="s">
        <v>97</v>
      </c>
      <c r="F790" s="2" t="s">
        <v>50</v>
      </c>
      <c r="G790" s="2" t="s">
        <v>98</v>
      </c>
      <c r="H790" s="3">
        <v>2465</v>
      </c>
      <c r="I790" s="4">
        <v>20</v>
      </c>
      <c r="J790" s="5">
        <v>5.13</v>
      </c>
      <c r="K790" s="4">
        <v>80</v>
      </c>
      <c r="L790" s="3">
        <f t="shared" si="36"/>
        <v>492.99999999999989</v>
      </c>
      <c r="M790" s="3">
        <f t="shared" si="37"/>
        <v>13.156361933790922</v>
      </c>
      <c r="N790" s="3">
        <v>40.5</v>
      </c>
      <c r="O790" s="5">
        <f t="shared" si="38"/>
        <v>32.484844280965241</v>
      </c>
      <c r="P790" s="2" t="s">
        <v>36</v>
      </c>
    </row>
    <row r="791" spans="1:16" x14ac:dyDescent="0.2">
      <c r="A791" s="2" t="s">
        <v>1174</v>
      </c>
      <c r="B791" s="2" t="s">
        <v>602</v>
      </c>
      <c r="C791" s="2" t="s">
        <v>175</v>
      </c>
      <c r="D791" s="2" t="s">
        <v>176</v>
      </c>
      <c r="E791" s="2" t="s">
        <v>78</v>
      </c>
      <c r="F791" s="2" t="s">
        <v>28</v>
      </c>
      <c r="G791" s="2" t="s">
        <v>98</v>
      </c>
      <c r="H791" s="3">
        <v>17328</v>
      </c>
      <c r="I791" s="4">
        <v>25</v>
      </c>
      <c r="J791" s="5">
        <v>4.46</v>
      </c>
      <c r="K791" s="4">
        <v>70</v>
      </c>
      <c r="L791" s="3">
        <f t="shared" si="36"/>
        <v>5198.4000000000005</v>
      </c>
      <c r="M791" s="3">
        <f t="shared" si="37"/>
        <v>67.145160389053231</v>
      </c>
      <c r="N791" s="3">
        <v>192.1</v>
      </c>
      <c r="O791" s="5">
        <f t="shared" si="38"/>
        <v>34.953232893833018</v>
      </c>
      <c r="P791" s="2" t="s">
        <v>29</v>
      </c>
    </row>
    <row r="792" spans="1:16" x14ac:dyDescent="0.2">
      <c r="A792" s="2" t="s">
        <v>1175</v>
      </c>
      <c r="B792" s="2" t="s">
        <v>474</v>
      </c>
      <c r="C792" s="2" t="s">
        <v>18</v>
      </c>
      <c r="D792" s="2" t="s">
        <v>19</v>
      </c>
      <c r="E792" s="2" t="s">
        <v>20</v>
      </c>
      <c r="F792" s="2" t="s">
        <v>59</v>
      </c>
      <c r="G792" s="2" t="s">
        <v>35</v>
      </c>
      <c r="H792" s="3">
        <v>15386</v>
      </c>
      <c r="I792" s="4">
        <v>30</v>
      </c>
      <c r="J792" s="5">
        <v>5.45</v>
      </c>
      <c r="K792" s="4">
        <v>85</v>
      </c>
      <c r="L792" s="3">
        <f t="shared" si="36"/>
        <v>2307.9000000000005</v>
      </c>
      <c r="M792" s="3">
        <f t="shared" si="37"/>
        <v>73.846264117256922</v>
      </c>
      <c r="N792" s="3">
        <v>237.7</v>
      </c>
      <c r="O792" s="5">
        <f t="shared" si="38"/>
        <v>31.067002152821594</v>
      </c>
      <c r="P792" s="2" t="s">
        <v>36</v>
      </c>
    </row>
    <row r="793" spans="1:16" x14ac:dyDescent="0.2">
      <c r="A793" s="2" t="s">
        <v>1176</v>
      </c>
      <c r="B793" s="2" t="s">
        <v>87</v>
      </c>
      <c r="C793" s="2" t="s">
        <v>32</v>
      </c>
      <c r="D793" s="2" t="s">
        <v>32</v>
      </c>
      <c r="E793" s="2" t="s">
        <v>88</v>
      </c>
      <c r="F793" s="2" t="s">
        <v>21</v>
      </c>
      <c r="G793" s="2" t="s">
        <v>35</v>
      </c>
      <c r="H793" s="3">
        <v>3720</v>
      </c>
      <c r="I793" s="4">
        <v>20</v>
      </c>
      <c r="J793" s="5">
        <v>5.41</v>
      </c>
      <c r="K793" s="4">
        <v>75</v>
      </c>
      <c r="L793" s="3">
        <f t="shared" si="36"/>
        <v>930</v>
      </c>
      <c r="M793" s="3">
        <f t="shared" si="37"/>
        <v>19.05051218913426</v>
      </c>
      <c r="N793" s="3">
        <v>46.3</v>
      </c>
      <c r="O793" s="5">
        <f t="shared" si="38"/>
        <v>41.14581466335693</v>
      </c>
      <c r="P793" s="2" t="s">
        <v>29</v>
      </c>
    </row>
    <row r="794" spans="1:16" x14ac:dyDescent="0.2">
      <c r="A794" s="2" t="s">
        <v>1177</v>
      </c>
      <c r="B794" s="2" t="s">
        <v>470</v>
      </c>
      <c r="C794" s="2" t="s">
        <v>153</v>
      </c>
      <c r="D794" s="2" t="s">
        <v>19</v>
      </c>
      <c r="E794" s="2" t="s">
        <v>107</v>
      </c>
      <c r="F794" s="2" t="s">
        <v>50</v>
      </c>
      <c r="G794" s="2" t="s">
        <v>98</v>
      </c>
      <c r="H794" s="3">
        <v>8969</v>
      </c>
      <c r="I794" s="4">
        <v>30</v>
      </c>
      <c r="J794" s="5">
        <v>5.1100000000000003</v>
      </c>
      <c r="K794" s="4">
        <v>80</v>
      </c>
      <c r="L794" s="3">
        <f t="shared" si="36"/>
        <v>1793.7999999999995</v>
      </c>
      <c r="M794" s="3">
        <f t="shared" si="37"/>
        <v>39.001833252551521</v>
      </c>
      <c r="N794" s="3">
        <v>119.1</v>
      </c>
      <c r="O794" s="5">
        <f t="shared" si="38"/>
        <v>32.747131194417733</v>
      </c>
      <c r="P794" s="2" t="s">
        <v>36</v>
      </c>
    </row>
    <row r="795" spans="1:16" x14ac:dyDescent="0.2">
      <c r="A795" s="2" t="s">
        <v>1178</v>
      </c>
      <c r="B795" s="2" t="s">
        <v>348</v>
      </c>
      <c r="C795" s="2" t="s">
        <v>84</v>
      </c>
      <c r="D795" s="2" t="s">
        <v>85</v>
      </c>
      <c r="E795" s="2" t="s">
        <v>88</v>
      </c>
      <c r="F795" s="2" t="s">
        <v>21</v>
      </c>
      <c r="G795" s="2" t="s">
        <v>22</v>
      </c>
      <c r="H795" s="3">
        <v>13243</v>
      </c>
      <c r="I795" s="4">
        <v>15</v>
      </c>
      <c r="J795" s="5">
        <v>4.83</v>
      </c>
      <c r="K795" s="4">
        <v>75</v>
      </c>
      <c r="L795" s="3">
        <f t="shared" si="36"/>
        <v>3310.75</v>
      </c>
      <c r="M795" s="3">
        <f t="shared" si="37"/>
        <v>77.666848470306945</v>
      </c>
      <c r="N795" s="3">
        <v>151.5</v>
      </c>
      <c r="O795" s="5">
        <f t="shared" si="38"/>
        <v>51.265246515054088</v>
      </c>
      <c r="P795" s="2" t="s">
        <v>29</v>
      </c>
    </row>
    <row r="796" spans="1:16" x14ac:dyDescent="0.2">
      <c r="A796" s="2" t="s">
        <v>1179</v>
      </c>
      <c r="B796" s="2" t="s">
        <v>358</v>
      </c>
      <c r="C796" s="2" t="s">
        <v>18</v>
      </c>
      <c r="D796" s="2" t="s">
        <v>19</v>
      </c>
      <c r="E796" s="2" t="s">
        <v>58</v>
      </c>
      <c r="F796" s="2" t="s">
        <v>21</v>
      </c>
      <c r="G796" s="2" t="s">
        <v>44</v>
      </c>
      <c r="H796" s="3">
        <v>7835</v>
      </c>
      <c r="I796" s="4">
        <v>20</v>
      </c>
      <c r="J796" s="5">
        <v>5.28</v>
      </c>
      <c r="K796" s="4">
        <v>80</v>
      </c>
      <c r="L796" s="3">
        <f t="shared" si="36"/>
        <v>1566.9999999999995</v>
      </c>
      <c r="M796" s="3">
        <f t="shared" si="37"/>
        <v>42.341669226705811</v>
      </c>
      <c r="N796" s="3">
        <v>121.1</v>
      </c>
      <c r="O796" s="5">
        <f t="shared" si="38"/>
        <v>34.964219014620816</v>
      </c>
      <c r="P796" s="2" t="s">
        <v>36</v>
      </c>
    </row>
    <row r="797" spans="1:16" x14ac:dyDescent="0.2">
      <c r="A797" s="2" t="s">
        <v>1180</v>
      </c>
      <c r="B797" s="2" t="s">
        <v>483</v>
      </c>
      <c r="C797" s="2" t="s">
        <v>91</v>
      </c>
      <c r="D797" s="2" t="s">
        <v>92</v>
      </c>
      <c r="E797" s="2" t="s">
        <v>58</v>
      </c>
      <c r="F797" s="2" t="s">
        <v>50</v>
      </c>
      <c r="G797" s="2" t="s">
        <v>35</v>
      </c>
      <c r="H797" s="3">
        <v>7402</v>
      </c>
      <c r="I797" s="4">
        <v>15</v>
      </c>
      <c r="J797" s="5">
        <v>5.6</v>
      </c>
      <c r="K797" s="4">
        <v>80</v>
      </c>
      <c r="L797" s="3">
        <f t="shared" si="36"/>
        <v>1480.3999999999996</v>
      </c>
      <c r="M797" s="3">
        <f t="shared" si="37"/>
        <v>48.699217302895548</v>
      </c>
      <c r="N797" s="3">
        <v>85.2</v>
      </c>
      <c r="O797" s="5">
        <f t="shared" si="38"/>
        <v>57.158705754572239</v>
      </c>
      <c r="P797" s="2" t="s">
        <v>69</v>
      </c>
    </row>
    <row r="798" spans="1:16" x14ac:dyDescent="0.2">
      <c r="A798" s="2" t="s">
        <v>1181</v>
      </c>
      <c r="B798" s="2" t="s">
        <v>55</v>
      </c>
      <c r="C798" s="2" t="s">
        <v>32</v>
      </c>
      <c r="D798" s="2" t="s">
        <v>32</v>
      </c>
      <c r="E798" s="2" t="s">
        <v>20</v>
      </c>
      <c r="F798" s="2" t="s">
        <v>21</v>
      </c>
      <c r="G798" s="2" t="s">
        <v>98</v>
      </c>
      <c r="H798" s="3">
        <v>7964</v>
      </c>
      <c r="I798" s="4">
        <v>20</v>
      </c>
      <c r="J798" s="5">
        <v>4.78</v>
      </c>
      <c r="K798" s="4">
        <v>70</v>
      </c>
      <c r="L798" s="3">
        <f t="shared" si="36"/>
        <v>2389.2000000000003</v>
      </c>
      <c r="M798" s="3">
        <f t="shared" si="37"/>
        <v>36.117076338104006</v>
      </c>
      <c r="N798" s="3">
        <v>98.1</v>
      </c>
      <c r="O798" s="5">
        <f t="shared" si="38"/>
        <v>36.816591578087674</v>
      </c>
      <c r="P798" s="2" t="s">
        <v>36</v>
      </c>
    </row>
    <row r="799" spans="1:16" x14ac:dyDescent="0.2">
      <c r="A799" s="2" t="s">
        <v>1182</v>
      </c>
      <c r="B799" s="2" t="s">
        <v>1183</v>
      </c>
      <c r="C799" s="2" t="s">
        <v>56</v>
      </c>
      <c r="D799" s="2" t="s">
        <v>57</v>
      </c>
      <c r="E799" s="2" t="s">
        <v>88</v>
      </c>
      <c r="F799" s="2" t="s">
        <v>50</v>
      </c>
      <c r="G799" s="2" t="s">
        <v>98</v>
      </c>
      <c r="H799" s="3">
        <v>10237</v>
      </c>
      <c r="I799" s="4">
        <v>20</v>
      </c>
      <c r="J799" s="5">
        <v>3.97</v>
      </c>
      <c r="K799" s="4">
        <v>85</v>
      </c>
      <c r="L799" s="3">
        <f t="shared" si="36"/>
        <v>1535.5500000000002</v>
      </c>
      <c r="M799" s="3">
        <f t="shared" si="37"/>
        <v>52.591624819859433</v>
      </c>
      <c r="N799" s="3">
        <v>145.80000000000001</v>
      </c>
      <c r="O799" s="5">
        <f t="shared" si="38"/>
        <v>36.071073264649819</v>
      </c>
      <c r="P799" s="2" t="s">
        <v>36</v>
      </c>
    </row>
    <row r="800" spans="1:16" x14ac:dyDescent="0.2">
      <c r="A800" s="2" t="s">
        <v>1184</v>
      </c>
      <c r="B800" s="2" t="s">
        <v>200</v>
      </c>
      <c r="C800" s="2" t="s">
        <v>62</v>
      </c>
      <c r="D800" s="2" t="s">
        <v>63</v>
      </c>
      <c r="E800" s="2" t="s">
        <v>177</v>
      </c>
      <c r="F800" s="2" t="s">
        <v>59</v>
      </c>
      <c r="G800" s="2" t="s">
        <v>44</v>
      </c>
      <c r="H800" s="3">
        <v>4488</v>
      </c>
      <c r="I800" s="4">
        <v>20</v>
      </c>
      <c r="J800" s="5">
        <v>4.6900000000000004</v>
      </c>
      <c r="K800" s="4">
        <v>70</v>
      </c>
      <c r="L800" s="3">
        <f t="shared" si="36"/>
        <v>1346.4</v>
      </c>
      <c r="M800" s="3">
        <f t="shared" si="37"/>
        <v>20.198959725034026</v>
      </c>
      <c r="N800" s="3">
        <v>61.2</v>
      </c>
      <c r="O800" s="5">
        <f t="shared" si="38"/>
        <v>33.004836152016381</v>
      </c>
      <c r="P800" s="2" t="s">
        <v>36</v>
      </c>
    </row>
    <row r="801" spans="1:16" x14ac:dyDescent="0.2">
      <c r="A801" s="2" t="s">
        <v>1185</v>
      </c>
      <c r="B801" s="2" t="s">
        <v>160</v>
      </c>
      <c r="C801" s="2" t="s">
        <v>67</v>
      </c>
      <c r="D801" s="2" t="s">
        <v>67</v>
      </c>
      <c r="E801" s="2" t="s">
        <v>74</v>
      </c>
      <c r="F801" s="2" t="s">
        <v>28</v>
      </c>
      <c r="G801" s="2" t="s">
        <v>35</v>
      </c>
      <c r="H801" s="3">
        <v>13657</v>
      </c>
      <c r="I801" s="4">
        <v>20</v>
      </c>
      <c r="J801" s="5">
        <v>4.49</v>
      </c>
      <c r="K801" s="4">
        <v>85</v>
      </c>
      <c r="L801" s="3">
        <f t="shared" si="36"/>
        <v>2048.5500000000002</v>
      </c>
      <c r="M801" s="3">
        <f t="shared" si="37"/>
        <v>73.378139729059015</v>
      </c>
      <c r="N801" s="3">
        <v>175.9</v>
      </c>
      <c r="O801" s="5">
        <f t="shared" si="38"/>
        <v>41.715827020499724</v>
      </c>
      <c r="P801" s="2" t="s">
        <v>36</v>
      </c>
    </row>
    <row r="802" spans="1:16" x14ac:dyDescent="0.2">
      <c r="A802" s="2" t="s">
        <v>1186</v>
      </c>
      <c r="B802" s="2" t="s">
        <v>714</v>
      </c>
      <c r="C802" s="2" t="s">
        <v>77</v>
      </c>
      <c r="D802" s="2" t="s">
        <v>19</v>
      </c>
      <c r="E802" s="2" t="s">
        <v>68</v>
      </c>
      <c r="F802" s="2" t="s">
        <v>59</v>
      </c>
      <c r="G802" s="2" t="s">
        <v>22</v>
      </c>
      <c r="H802" s="3">
        <v>2756</v>
      </c>
      <c r="I802" s="4">
        <v>20</v>
      </c>
      <c r="J802" s="5">
        <v>4.29</v>
      </c>
      <c r="K802" s="4">
        <v>90</v>
      </c>
      <c r="L802" s="3">
        <f t="shared" si="36"/>
        <v>275.59999999999997</v>
      </c>
      <c r="M802" s="3">
        <f t="shared" si="37"/>
        <v>15.412463636900391</v>
      </c>
      <c r="N802" s="3">
        <v>33.299999999999997</v>
      </c>
      <c r="O802" s="5">
        <f t="shared" si="38"/>
        <v>46.283674585286462</v>
      </c>
      <c r="P802" s="2" t="s">
        <v>29</v>
      </c>
    </row>
    <row r="803" spans="1:16" x14ac:dyDescent="0.2">
      <c r="A803" s="2" t="s">
        <v>1187</v>
      </c>
      <c r="B803" s="2" t="s">
        <v>187</v>
      </c>
      <c r="C803" s="2" t="s">
        <v>175</v>
      </c>
      <c r="D803" s="2" t="s">
        <v>176</v>
      </c>
      <c r="E803" s="2" t="s">
        <v>64</v>
      </c>
      <c r="F803" s="2" t="s">
        <v>50</v>
      </c>
      <c r="G803" s="2" t="s">
        <v>98</v>
      </c>
      <c r="H803" s="3">
        <v>11169</v>
      </c>
      <c r="I803" s="4">
        <v>20</v>
      </c>
      <c r="J803" s="5">
        <v>5.7</v>
      </c>
      <c r="K803" s="4">
        <v>90</v>
      </c>
      <c r="L803" s="3">
        <f t="shared" si="36"/>
        <v>1116.8999999999999</v>
      </c>
      <c r="M803" s="3">
        <f t="shared" si="37"/>
        <v>70.287510370427839</v>
      </c>
      <c r="N803" s="3">
        <v>135</v>
      </c>
      <c r="O803" s="5">
        <f t="shared" si="38"/>
        <v>52.064822496613218</v>
      </c>
      <c r="P803" s="2" t="s">
        <v>36</v>
      </c>
    </row>
    <row r="804" spans="1:16" x14ac:dyDescent="0.2">
      <c r="A804" s="2" t="s">
        <v>1188</v>
      </c>
      <c r="B804" s="2" t="s">
        <v>87</v>
      </c>
      <c r="C804" s="2" t="s">
        <v>32</v>
      </c>
      <c r="D804" s="2" t="s">
        <v>32</v>
      </c>
      <c r="E804" s="2" t="s">
        <v>58</v>
      </c>
      <c r="F804" s="2" t="s">
        <v>28</v>
      </c>
      <c r="G804" s="2" t="s">
        <v>98</v>
      </c>
      <c r="H804" s="3">
        <v>17404</v>
      </c>
      <c r="I804" s="4">
        <v>30</v>
      </c>
      <c r="J804" s="5">
        <v>5.31</v>
      </c>
      <c r="K804" s="4">
        <v>75</v>
      </c>
      <c r="L804" s="3">
        <f t="shared" si="36"/>
        <v>4351</v>
      </c>
      <c r="M804" s="3">
        <f t="shared" si="37"/>
        <v>72.564996590527002</v>
      </c>
      <c r="N804" s="3">
        <v>269.10000000000002</v>
      </c>
      <c r="O804" s="5">
        <f t="shared" si="38"/>
        <v>26.965810698820885</v>
      </c>
      <c r="P804" s="2" t="s">
        <v>36</v>
      </c>
    </row>
    <row r="805" spans="1:16" x14ac:dyDescent="0.2">
      <c r="A805" s="2" t="s">
        <v>1189</v>
      </c>
      <c r="B805" s="2" t="s">
        <v>659</v>
      </c>
      <c r="C805" s="2" t="s">
        <v>67</v>
      </c>
      <c r="D805" s="2" t="s">
        <v>67</v>
      </c>
      <c r="E805" s="2" t="s">
        <v>88</v>
      </c>
      <c r="F805" s="2" t="s">
        <v>59</v>
      </c>
      <c r="G805" s="2" t="s">
        <v>98</v>
      </c>
      <c r="H805" s="3">
        <v>4768</v>
      </c>
      <c r="I805" s="4">
        <v>30</v>
      </c>
      <c r="J805" s="5">
        <v>5.43</v>
      </c>
      <c r="K805" s="4">
        <v>80</v>
      </c>
      <c r="L805" s="3">
        <f t="shared" si="36"/>
        <v>953.5999999999998</v>
      </c>
      <c r="M805" s="3">
        <f t="shared" si="37"/>
        <v>21.49051654301002</v>
      </c>
      <c r="N805" s="3">
        <v>72.099999999999994</v>
      </c>
      <c r="O805" s="5">
        <f t="shared" si="38"/>
        <v>29.806541668529853</v>
      </c>
      <c r="P805" s="2" t="s">
        <v>36</v>
      </c>
    </row>
    <row r="806" spans="1:16" x14ac:dyDescent="0.2">
      <c r="A806" s="2" t="s">
        <v>1190</v>
      </c>
      <c r="B806" s="2" t="s">
        <v>602</v>
      </c>
      <c r="C806" s="2" t="s">
        <v>119</v>
      </c>
      <c r="D806" s="2" t="s">
        <v>120</v>
      </c>
      <c r="E806" s="2" t="s">
        <v>81</v>
      </c>
      <c r="F806" s="2" t="s">
        <v>21</v>
      </c>
      <c r="G806" s="2" t="s">
        <v>22</v>
      </c>
      <c r="H806" s="3">
        <v>5439</v>
      </c>
      <c r="I806" s="4">
        <v>25</v>
      </c>
      <c r="J806" s="5">
        <v>4.01</v>
      </c>
      <c r="K806" s="4">
        <v>85</v>
      </c>
      <c r="L806" s="3">
        <f t="shared" si="36"/>
        <v>815.85000000000014</v>
      </c>
      <c r="M806" s="3">
        <f t="shared" si="37"/>
        <v>24.428223040356631</v>
      </c>
      <c r="N806" s="3">
        <v>73.900000000000006</v>
      </c>
      <c r="O806" s="5">
        <f t="shared" si="38"/>
        <v>33.05578219263414</v>
      </c>
      <c r="P806" s="2" t="s">
        <v>36</v>
      </c>
    </row>
    <row r="807" spans="1:16" x14ac:dyDescent="0.2">
      <c r="A807" s="2" t="s">
        <v>1191</v>
      </c>
      <c r="B807" s="2" t="s">
        <v>415</v>
      </c>
      <c r="C807" s="2" t="s">
        <v>100</v>
      </c>
      <c r="D807" s="2" t="s">
        <v>32</v>
      </c>
      <c r="E807" s="2" t="s">
        <v>64</v>
      </c>
      <c r="F807" s="2" t="s">
        <v>21</v>
      </c>
      <c r="G807" s="2" t="s">
        <v>35</v>
      </c>
      <c r="H807" s="3">
        <v>1993</v>
      </c>
      <c r="I807" s="4">
        <v>25</v>
      </c>
      <c r="J807" s="5">
        <v>5.51</v>
      </c>
      <c r="K807" s="4">
        <v>70</v>
      </c>
      <c r="L807" s="3">
        <f t="shared" si="36"/>
        <v>597.90000000000009</v>
      </c>
      <c r="M807" s="3">
        <f t="shared" si="37"/>
        <v>8.5754680544433715</v>
      </c>
      <c r="N807" s="3">
        <v>28.2</v>
      </c>
      <c r="O807" s="5">
        <f t="shared" si="38"/>
        <v>30.409461185969406</v>
      </c>
      <c r="P807" s="2" t="s">
        <v>29</v>
      </c>
    </row>
    <row r="808" spans="1:16" x14ac:dyDescent="0.2">
      <c r="A808" s="2" t="s">
        <v>1192</v>
      </c>
      <c r="B808" s="2" t="s">
        <v>524</v>
      </c>
      <c r="C808" s="2" t="s">
        <v>18</v>
      </c>
      <c r="D808" s="2" t="s">
        <v>19</v>
      </c>
      <c r="E808" s="2" t="s">
        <v>107</v>
      </c>
      <c r="F808" s="2" t="s">
        <v>50</v>
      </c>
      <c r="G808" s="2" t="s">
        <v>35</v>
      </c>
      <c r="H808" s="3">
        <v>8080</v>
      </c>
      <c r="I808" s="4">
        <v>30</v>
      </c>
      <c r="J808" s="5">
        <v>4.72</v>
      </c>
      <c r="K808" s="4">
        <v>75</v>
      </c>
      <c r="L808" s="3">
        <f t="shared" si="36"/>
        <v>2020</v>
      </c>
      <c r="M808" s="3">
        <f t="shared" si="37"/>
        <v>31.502340306385033</v>
      </c>
      <c r="N808" s="3">
        <v>85.4</v>
      </c>
      <c r="O808" s="5">
        <f t="shared" si="38"/>
        <v>36.887986307242429</v>
      </c>
      <c r="P808" s="2" t="s">
        <v>36</v>
      </c>
    </row>
    <row r="809" spans="1:16" x14ac:dyDescent="0.2">
      <c r="A809" s="2" t="s">
        <v>1193</v>
      </c>
      <c r="B809" s="2" t="s">
        <v>346</v>
      </c>
      <c r="C809" s="2" t="s">
        <v>26</v>
      </c>
      <c r="D809" s="2" t="s">
        <v>27</v>
      </c>
      <c r="E809" s="2" t="s">
        <v>156</v>
      </c>
      <c r="F809" s="2" t="s">
        <v>28</v>
      </c>
      <c r="G809" s="2" t="s">
        <v>44</v>
      </c>
      <c r="H809" s="3">
        <v>12005</v>
      </c>
      <c r="I809" s="4">
        <v>25</v>
      </c>
      <c r="J809" s="5">
        <v>4.3600000000000003</v>
      </c>
      <c r="K809" s="4">
        <v>80</v>
      </c>
      <c r="L809" s="3">
        <f t="shared" si="36"/>
        <v>2400.9999999999995</v>
      </c>
      <c r="M809" s="3">
        <f t="shared" si="37"/>
        <v>52.621851380219823</v>
      </c>
      <c r="N809" s="3">
        <v>148.19999999999999</v>
      </c>
      <c r="O809" s="5">
        <f t="shared" si="38"/>
        <v>35.507322118906764</v>
      </c>
      <c r="P809" s="2" t="s">
        <v>36</v>
      </c>
    </row>
    <row r="810" spans="1:16" x14ac:dyDescent="0.2">
      <c r="A810" s="2" t="s">
        <v>1194</v>
      </c>
      <c r="B810" s="2" t="s">
        <v>302</v>
      </c>
      <c r="C810" s="2" t="s">
        <v>47</v>
      </c>
      <c r="D810" s="2" t="s">
        <v>48</v>
      </c>
      <c r="E810" s="2" t="s">
        <v>107</v>
      </c>
      <c r="F810" s="2" t="s">
        <v>50</v>
      </c>
      <c r="G810" s="2" t="s">
        <v>44</v>
      </c>
      <c r="H810" s="3">
        <v>13729</v>
      </c>
      <c r="I810" s="4">
        <v>20</v>
      </c>
      <c r="J810" s="5">
        <v>4.78</v>
      </c>
      <c r="K810" s="4">
        <v>85</v>
      </c>
      <c r="L810" s="3">
        <f t="shared" si="36"/>
        <v>2059.3500000000004</v>
      </c>
      <c r="M810" s="3">
        <f t="shared" si="37"/>
        <v>75.603365123225117</v>
      </c>
      <c r="N810" s="3">
        <v>159.9</v>
      </c>
      <c r="O810" s="5">
        <f t="shared" si="38"/>
        <v>47.281654235913138</v>
      </c>
      <c r="P810" s="2" t="s">
        <v>69</v>
      </c>
    </row>
    <row r="811" spans="1:16" x14ac:dyDescent="0.2">
      <c r="A811" s="2" t="s">
        <v>1195</v>
      </c>
      <c r="B811" s="2" t="s">
        <v>1139</v>
      </c>
      <c r="C811" s="2" t="s">
        <v>47</v>
      </c>
      <c r="D811" s="2" t="s">
        <v>48</v>
      </c>
      <c r="E811" s="2" t="s">
        <v>74</v>
      </c>
      <c r="F811" s="2" t="s">
        <v>21</v>
      </c>
      <c r="G811" s="2" t="s">
        <v>98</v>
      </c>
      <c r="H811" s="3">
        <v>2685</v>
      </c>
      <c r="I811" s="4">
        <v>30</v>
      </c>
      <c r="J811" s="5">
        <v>5.47</v>
      </c>
      <c r="K811" s="4">
        <v>80</v>
      </c>
      <c r="L811" s="3">
        <f t="shared" si="36"/>
        <v>536.99999999999989</v>
      </c>
      <c r="M811" s="3">
        <f t="shared" si="37"/>
        <v>12.155707899173624</v>
      </c>
      <c r="N811" s="3">
        <v>44</v>
      </c>
      <c r="O811" s="5">
        <f t="shared" si="38"/>
        <v>27.626608861758235</v>
      </c>
      <c r="P811" s="2" t="s">
        <v>36</v>
      </c>
    </row>
    <row r="812" spans="1:16" x14ac:dyDescent="0.2">
      <c r="A812" s="2" t="s">
        <v>1196</v>
      </c>
      <c r="B812" s="2" t="s">
        <v>935</v>
      </c>
      <c r="C812" s="2" t="s">
        <v>72</v>
      </c>
      <c r="D812" s="2" t="s">
        <v>73</v>
      </c>
      <c r="E812" s="2" t="s">
        <v>156</v>
      </c>
      <c r="F812" s="2" t="s">
        <v>34</v>
      </c>
      <c r="G812" s="2" t="s">
        <v>98</v>
      </c>
      <c r="H812" s="3">
        <v>15385</v>
      </c>
      <c r="I812" s="4">
        <v>25</v>
      </c>
      <c r="J812" s="5">
        <v>4.25</v>
      </c>
      <c r="K812" s="4">
        <v>90</v>
      </c>
      <c r="L812" s="3">
        <f t="shared" si="36"/>
        <v>1538.4999999999995</v>
      </c>
      <c r="M812" s="3">
        <f t="shared" si="37"/>
        <v>75.011766152272742</v>
      </c>
      <c r="N812" s="3">
        <v>259.89999999999998</v>
      </c>
      <c r="O812" s="5">
        <f t="shared" si="38"/>
        <v>28.861779973941033</v>
      </c>
      <c r="P812" s="2" t="s">
        <v>36</v>
      </c>
    </row>
    <row r="813" spans="1:16" x14ac:dyDescent="0.2">
      <c r="A813" s="2" t="s">
        <v>1197</v>
      </c>
      <c r="B813" s="2" t="s">
        <v>260</v>
      </c>
      <c r="C813" s="2" t="s">
        <v>153</v>
      </c>
      <c r="D813" s="2" t="s">
        <v>19</v>
      </c>
      <c r="E813" s="2" t="s">
        <v>49</v>
      </c>
      <c r="F813" s="2" t="s">
        <v>34</v>
      </c>
      <c r="G813" s="2" t="s">
        <v>98</v>
      </c>
      <c r="H813" s="3">
        <v>15477</v>
      </c>
      <c r="I813" s="4">
        <v>20</v>
      </c>
      <c r="J813" s="5">
        <v>5.33</v>
      </c>
      <c r="K813" s="4">
        <v>80</v>
      </c>
      <c r="L813" s="3">
        <f t="shared" si="36"/>
        <v>3095.3999999999992</v>
      </c>
      <c r="M813" s="3">
        <f t="shared" si="37"/>
        <v>83.98701979186842</v>
      </c>
      <c r="N813" s="3">
        <v>275.89999999999998</v>
      </c>
      <c r="O813" s="5">
        <f t="shared" si="38"/>
        <v>30.44110902206177</v>
      </c>
      <c r="P813" s="2" t="s">
        <v>69</v>
      </c>
    </row>
    <row r="814" spans="1:16" x14ac:dyDescent="0.2">
      <c r="A814" s="2" t="s">
        <v>1198</v>
      </c>
      <c r="B814" s="2" t="s">
        <v>490</v>
      </c>
      <c r="C814" s="2" t="s">
        <v>153</v>
      </c>
      <c r="D814" s="2" t="s">
        <v>19</v>
      </c>
      <c r="E814" s="2" t="s">
        <v>64</v>
      </c>
      <c r="F814" s="2" t="s">
        <v>59</v>
      </c>
      <c r="G814" s="2" t="s">
        <v>98</v>
      </c>
      <c r="H814" s="3">
        <v>17832</v>
      </c>
      <c r="I814" s="4">
        <v>30</v>
      </c>
      <c r="J814" s="5">
        <v>4.62</v>
      </c>
      <c r="K814" s="4">
        <v>85</v>
      </c>
      <c r="L814" s="3">
        <f t="shared" si="36"/>
        <v>2674.8</v>
      </c>
      <c r="M814" s="3">
        <f t="shared" si="37"/>
        <v>77.883804182060558</v>
      </c>
      <c r="N814" s="3">
        <v>318.7</v>
      </c>
      <c r="O814" s="5">
        <f t="shared" si="38"/>
        <v>24.437968052105603</v>
      </c>
      <c r="P814" s="2" t="s">
        <v>29</v>
      </c>
    </row>
    <row r="815" spans="1:16" x14ac:dyDescent="0.2">
      <c r="A815" s="2" t="s">
        <v>1199</v>
      </c>
      <c r="B815" s="2" t="s">
        <v>342</v>
      </c>
      <c r="C815" s="2" t="s">
        <v>62</v>
      </c>
      <c r="D815" s="2" t="s">
        <v>63</v>
      </c>
      <c r="E815" s="2" t="s">
        <v>81</v>
      </c>
      <c r="F815" s="2" t="s">
        <v>50</v>
      </c>
      <c r="G815" s="2" t="s">
        <v>98</v>
      </c>
      <c r="H815" s="3">
        <v>1610</v>
      </c>
      <c r="I815" s="4">
        <v>20</v>
      </c>
      <c r="J815" s="5">
        <v>5.21</v>
      </c>
      <c r="K815" s="4">
        <v>90</v>
      </c>
      <c r="L815" s="3">
        <f t="shared" si="36"/>
        <v>160.99999999999997</v>
      </c>
      <c r="M815" s="3">
        <f t="shared" si="37"/>
        <v>9.7316517786092174</v>
      </c>
      <c r="N815" s="3">
        <v>23.8</v>
      </c>
      <c r="O815" s="5">
        <f t="shared" si="38"/>
        <v>40.889293187433687</v>
      </c>
      <c r="P815" s="2" t="s">
        <v>36</v>
      </c>
    </row>
    <row r="816" spans="1:16" x14ac:dyDescent="0.2">
      <c r="A816" s="2" t="s">
        <v>1200</v>
      </c>
      <c r="B816" s="2" t="s">
        <v>382</v>
      </c>
      <c r="C816" s="2" t="s">
        <v>18</v>
      </c>
      <c r="D816" s="2" t="s">
        <v>19</v>
      </c>
      <c r="E816" s="2" t="s">
        <v>41</v>
      </c>
      <c r="F816" s="2" t="s">
        <v>34</v>
      </c>
      <c r="G816" s="2" t="s">
        <v>44</v>
      </c>
      <c r="H816" s="3">
        <v>1759</v>
      </c>
      <c r="I816" s="4">
        <v>20</v>
      </c>
      <c r="J816" s="5">
        <v>4.8099999999999996</v>
      </c>
      <c r="K816" s="4">
        <v>75</v>
      </c>
      <c r="L816" s="3">
        <f t="shared" si="36"/>
        <v>439.75</v>
      </c>
      <c r="M816" s="3">
        <f t="shared" si="37"/>
        <v>8.5685946457534428</v>
      </c>
      <c r="N816" s="3">
        <v>21.3</v>
      </c>
      <c r="O816" s="5">
        <f t="shared" si="38"/>
        <v>40.22814387677672</v>
      </c>
      <c r="P816" s="2" t="s">
        <v>36</v>
      </c>
    </row>
    <row r="817" spans="1:16" x14ac:dyDescent="0.2">
      <c r="A817" s="2" t="s">
        <v>1201</v>
      </c>
      <c r="B817" s="2" t="s">
        <v>1150</v>
      </c>
      <c r="C817" s="2" t="s">
        <v>131</v>
      </c>
      <c r="D817" s="2" t="s">
        <v>27</v>
      </c>
      <c r="E817" s="2" t="s">
        <v>114</v>
      </c>
      <c r="F817" s="2" t="s">
        <v>21</v>
      </c>
      <c r="G817" s="2" t="s">
        <v>44</v>
      </c>
      <c r="H817" s="3">
        <v>11454</v>
      </c>
      <c r="I817" s="4">
        <v>25</v>
      </c>
      <c r="J817" s="5">
        <v>5.68</v>
      </c>
      <c r="K817" s="4">
        <v>70</v>
      </c>
      <c r="L817" s="3">
        <f t="shared" si="36"/>
        <v>3436.2000000000007</v>
      </c>
      <c r="M817" s="3">
        <f t="shared" si="37"/>
        <v>50.101887262381169</v>
      </c>
      <c r="N817" s="3">
        <v>164.2</v>
      </c>
      <c r="O817" s="5">
        <f t="shared" si="38"/>
        <v>30.51272062264383</v>
      </c>
      <c r="P817" s="2" t="s">
        <v>36</v>
      </c>
    </row>
    <row r="818" spans="1:16" x14ac:dyDescent="0.2">
      <c r="A818" s="2" t="s">
        <v>1202</v>
      </c>
      <c r="B818" s="2" t="s">
        <v>645</v>
      </c>
      <c r="C818" s="2" t="s">
        <v>77</v>
      </c>
      <c r="D818" s="2" t="s">
        <v>19</v>
      </c>
      <c r="E818" s="2" t="s">
        <v>177</v>
      </c>
      <c r="F818" s="2" t="s">
        <v>34</v>
      </c>
      <c r="G818" s="2" t="s">
        <v>35</v>
      </c>
      <c r="H818" s="3">
        <v>15107</v>
      </c>
      <c r="I818" s="4">
        <v>25</v>
      </c>
      <c r="J818" s="5">
        <v>5.43</v>
      </c>
      <c r="K818" s="4">
        <v>70</v>
      </c>
      <c r="L818" s="3">
        <f t="shared" si="36"/>
        <v>4532.1000000000004</v>
      </c>
      <c r="M818" s="3">
        <f t="shared" si="37"/>
        <v>64.497813448122841</v>
      </c>
      <c r="N818" s="3">
        <v>205.2</v>
      </c>
      <c r="O818" s="5">
        <f t="shared" si="38"/>
        <v>31.431682966921464</v>
      </c>
      <c r="P818" s="2" t="s">
        <v>29</v>
      </c>
    </row>
    <row r="819" spans="1:16" x14ac:dyDescent="0.2">
      <c r="A819" s="2" t="s">
        <v>1203</v>
      </c>
      <c r="B819" s="2" t="s">
        <v>610</v>
      </c>
      <c r="C819" s="2" t="s">
        <v>153</v>
      </c>
      <c r="D819" s="2" t="s">
        <v>19</v>
      </c>
      <c r="E819" s="2" t="s">
        <v>114</v>
      </c>
      <c r="F819" s="2" t="s">
        <v>59</v>
      </c>
      <c r="G819" s="2" t="s">
        <v>35</v>
      </c>
      <c r="H819" s="3">
        <v>7519</v>
      </c>
      <c r="I819" s="4">
        <v>25</v>
      </c>
      <c r="J819" s="5">
        <v>4</v>
      </c>
      <c r="K819" s="4">
        <v>80</v>
      </c>
      <c r="L819" s="3">
        <f t="shared" si="36"/>
        <v>1503.7999999999997</v>
      </c>
      <c r="M819" s="3">
        <f t="shared" si="37"/>
        <v>31.750441617591896</v>
      </c>
      <c r="N819" s="3">
        <v>117.4</v>
      </c>
      <c r="O819" s="5">
        <f t="shared" si="38"/>
        <v>27.044669180231594</v>
      </c>
      <c r="P819" s="2" t="s">
        <v>23</v>
      </c>
    </row>
    <row r="820" spans="1:16" x14ac:dyDescent="0.2">
      <c r="A820" s="2" t="s">
        <v>1204</v>
      </c>
      <c r="B820" s="2" t="s">
        <v>1205</v>
      </c>
      <c r="C820" s="2" t="s">
        <v>77</v>
      </c>
      <c r="D820" s="2" t="s">
        <v>19</v>
      </c>
      <c r="E820" s="2" t="s">
        <v>64</v>
      </c>
      <c r="F820" s="2" t="s">
        <v>59</v>
      </c>
      <c r="G820" s="2" t="s">
        <v>22</v>
      </c>
      <c r="H820" s="3">
        <v>12722</v>
      </c>
      <c r="I820" s="4">
        <v>30</v>
      </c>
      <c r="J820" s="5">
        <v>4.01</v>
      </c>
      <c r="K820" s="4">
        <v>80</v>
      </c>
      <c r="L820" s="3">
        <f t="shared" si="36"/>
        <v>2544.3999999999996</v>
      </c>
      <c r="M820" s="3">
        <f t="shared" si="37"/>
        <v>48.648112565091914</v>
      </c>
      <c r="N820" s="3">
        <v>148.69999999999999</v>
      </c>
      <c r="O820" s="5">
        <f t="shared" si="38"/>
        <v>32.715610332946817</v>
      </c>
      <c r="P820" s="2" t="s">
        <v>36</v>
      </c>
    </row>
    <row r="821" spans="1:16" x14ac:dyDescent="0.2">
      <c r="A821" s="2" t="s">
        <v>1206</v>
      </c>
      <c r="B821" s="2" t="s">
        <v>1111</v>
      </c>
      <c r="C821" s="2" t="s">
        <v>39</v>
      </c>
      <c r="D821" s="2" t="s">
        <v>40</v>
      </c>
      <c r="E821" s="2" t="s">
        <v>88</v>
      </c>
      <c r="F821" s="2" t="s">
        <v>21</v>
      </c>
      <c r="G821" s="2" t="s">
        <v>22</v>
      </c>
      <c r="H821" s="3">
        <v>4772</v>
      </c>
      <c r="I821" s="4">
        <v>20</v>
      </c>
      <c r="J821" s="5">
        <v>5.15</v>
      </c>
      <c r="K821" s="4">
        <v>70</v>
      </c>
      <c r="L821" s="3">
        <f t="shared" si="36"/>
        <v>1431.6000000000001</v>
      </c>
      <c r="M821" s="3">
        <f t="shared" si="37"/>
        <v>22.322895717960403</v>
      </c>
      <c r="N821" s="3">
        <v>69.2</v>
      </c>
      <c r="O821" s="5">
        <f t="shared" si="38"/>
        <v>32.258519823642203</v>
      </c>
      <c r="P821" s="2" t="s">
        <v>29</v>
      </c>
    </row>
    <row r="822" spans="1:16" x14ac:dyDescent="0.2">
      <c r="A822" s="2" t="s">
        <v>1207</v>
      </c>
      <c r="B822" s="2" t="s">
        <v>358</v>
      </c>
      <c r="C822" s="2" t="s">
        <v>32</v>
      </c>
      <c r="D822" s="2" t="s">
        <v>32</v>
      </c>
      <c r="E822" s="2" t="s">
        <v>78</v>
      </c>
      <c r="F822" s="2" t="s">
        <v>50</v>
      </c>
      <c r="G822" s="2" t="s">
        <v>22</v>
      </c>
      <c r="H822" s="3">
        <v>8558</v>
      </c>
      <c r="I822" s="4">
        <v>25</v>
      </c>
      <c r="J822" s="5">
        <v>4.7</v>
      </c>
      <c r="K822" s="4">
        <v>75</v>
      </c>
      <c r="L822" s="3">
        <f t="shared" si="36"/>
        <v>2139.5</v>
      </c>
      <c r="M822" s="3">
        <f t="shared" si="37"/>
        <v>36.408637838691533</v>
      </c>
      <c r="N822" s="3">
        <v>131.5</v>
      </c>
      <c r="O822" s="5">
        <f t="shared" si="38"/>
        <v>27.687177063643752</v>
      </c>
      <c r="P822" s="2" t="s">
        <v>69</v>
      </c>
    </row>
    <row r="823" spans="1:16" x14ac:dyDescent="0.2">
      <c r="A823" s="2" t="s">
        <v>1208</v>
      </c>
      <c r="B823" s="2" t="s">
        <v>645</v>
      </c>
      <c r="C823" s="2" t="s">
        <v>153</v>
      </c>
      <c r="D823" s="2" t="s">
        <v>19</v>
      </c>
      <c r="E823" s="2" t="s">
        <v>97</v>
      </c>
      <c r="F823" s="2" t="s">
        <v>50</v>
      </c>
      <c r="G823" s="2" t="s">
        <v>22</v>
      </c>
      <c r="H823" s="3">
        <v>10113</v>
      </c>
      <c r="I823" s="4">
        <v>20</v>
      </c>
      <c r="J823" s="5">
        <v>4.95</v>
      </c>
      <c r="K823" s="4">
        <v>90</v>
      </c>
      <c r="L823" s="3">
        <f t="shared" si="36"/>
        <v>1011.2999999999997</v>
      </c>
      <c r="M823" s="3">
        <f t="shared" si="37"/>
        <v>59.816077634267351</v>
      </c>
      <c r="N823" s="3">
        <v>108.8</v>
      </c>
      <c r="O823" s="5">
        <f t="shared" si="38"/>
        <v>54.978012531495722</v>
      </c>
      <c r="P823" s="2" t="s">
        <v>36</v>
      </c>
    </row>
    <row r="824" spans="1:16" x14ac:dyDescent="0.2">
      <c r="A824" s="2" t="s">
        <v>1209</v>
      </c>
      <c r="B824" s="2" t="s">
        <v>574</v>
      </c>
      <c r="C824" s="2" t="s">
        <v>131</v>
      </c>
      <c r="D824" s="2" t="s">
        <v>27</v>
      </c>
      <c r="E824" s="2" t="s">
        <v>114</v>
      </c>
      <c r="F824" s="2" t="s">
        <v>50</v>
      </c>
      <c r="G824" s="2" t="s">
        <v>44</v>
      </c>
      <c r="H824" s="3">
        <v>16503</v>
      </c>
      <c r="I824" s="4">
        <v>15</v>
      </c>
      <c r="J824" s="5">
        <v>4.29</v>
      </c>
      <c r="K824" s="4">
        <v>70</v>
      </c>
      <c r="L824" s="3">
        <f t="shared" si="36"/>
        <v>4950.9000000000005</v>
      </c>
      <c r="M824" s="3">
        <f t="shared" si="37"/>
        <v>87.13800421578631</v>
      </c>
      <c r="N824" s="3">
        <v>268.89999999999998</v>
      </c>
      <c r="O824" s="5">
        <f t="shared" si="38"/>
        <v>32.405356718403247</v>
      </c>
      <c r="P824" s="2" t="s">
        <v>36</v>
      </c>
    </row>
    <row r="825" spans="1:16" x14ac:dyDescent="0.2">
      <c r="A825" s="2" t="s">
        <v>1210</v>
      </c>
      <c r="B825" s="2" t="s">
        <v>253</v>
      </c>
      <c r="C825" s="2" t="s">
        <v>175</v>
      </c>
      <c r="D825" s="2" t="s">
        <v>176</v>
      </c>
      <c r="E825" s="2" t="s">
        <v>68</v>
      </c>
      <c r="F825" s="2" t="s">
        <v>59</v>
      </c>
      <c r="G825" s="2" t="s">
        <v>35</v>
      </c>
      <c r="H825" s="3">
        <v>15378</v>
      </c>
      <c r="I825" s="4">
        <v>20</v>
      </c>
      <c r="J825" s="5">
        <v>4.18</v>
      </c>
      <c r="K825" s="4">
        <v>85</v>
      </c>
      <c r="L825" s="3">
        <f t="shared" si="36"/>
        <v>2306.7000000000003</v>
      </c>
      <c r="M825" s="3">
        <f t="shared" si="37"/>
        <v>80.454772379613672</v>
      </c>
      <c r="N825" s="3">
        <v>189.9</v>
      </c>
      <c r="O825" s="5">
        <f t="shared" si="38"/>
        <v>42.366915418437948</v>
      </c>
      <c r="P825" s="2" t="s">
        <v>36</v>
      </c>
    </row>
    <row r="826" spans="1:16" x14ac:dyDescent="0.2">
      <c r="A826" s="2" t="s">
        <v>1211</v>
      </c>
      <c r="B826" s="2" t="s">
        <v>886</v>
      </c>
      <c r="C826" s="2" t="s">
        <v>26</v>
      </c>
      <c r="D826" s="2" t="s">
        <v>27</v>
      </c>
      <c r="E826" s="2" t="s">
        <v>20</v>
      </c>
      <c r="F826" s="2" t="s">
        <v>50</v>
      </c>
      <c r="G826" s="2" t="s">
        <v>35</v>
      </c>
      <c r="H826" s="3">
        <v>10401</v>
      </c>
      <c r="I826" s="4">
        <v>30</v>
      </c>
      <c r="J826" s="5">
        <v>5.78</v>
      </c>
      <c r="K826" s="4">
        <v>80</v>
      </c>
      <c r="L826" s="3">
        <f t="shared" si="36"/>
        <v>2080.1999999999994</v>
      </c>
      <c r="M826" s="3">
        <f t="shared" si="37"/>
        <v>48.716622963478699</v>
      </c>
      <c r="N826" s="3">
        <v>121.4</v>
      </c>
      <c r="O826" s="5">
        <f t="shared" si="38"/>
        <v>40.12901397321145</v>
      </c>
      <c r="P826" s="2" t="s">
        <v>29</v>
      </c>
    </row>
    <row r="827" spans="1:16" x14ac:dyDescent="0.2">
      <c r="A827" s="2" t="s">
        <v>1212</v>
      </c>
      <c r="B827" s="2" t="s">
        <v>344</v>
      </c>
      <c r="C827" s="2" t="s">
        <v>84</v>
      </c>
      <c r="D827" s="2" t="s">
        <v>85</v>
      </c>
      <c r="E827" s="2" t="s">
        <v>33</v>
      </c>
      <c r="F827" s="2" t="s">
        <v>28</v>
      </c>
      <c r="G827" s="2" t="s">
        <v>35</v>
      </c>
      <c r="H827" s="3">
        <v>9366</v>
      </c>
      <c r="I827" s="4">
        <v>15</v>
      </c>
      <c r="J827" s="5">
        <v>4.1100000000000003</v>
      </c>
      <c r="K827" s="4">
        <v>80</v>
      </c>
      <c r="L827" s="3">
        <f t="shared" si="36"/>
        <v>1873.1999999999996</v>
      </c>
      <c r="M827" s="3">
        <f t="shared" si="37"/>
        <v>55.83727278111369</v>
      </c>
      <c r="N827" s="3">
        <v>139.9</v>
      </c>
      <c r="O827" s="5">
        <f t="shared" si="38"/>
        <v>39.912275040109854</v>
      </c>
      <c r="P827" s="2" t="s">
        <v>36</v>
      </c>
    </row>
    <row r="828" spans="1:16" x14ac:dyDescent="0.2">
      <c r="A828" s="2" t="s">
        <v>1213</v>
      </c>
      <c r="B828" s="2" t="s">
        <v>840</v>
      </c>
      <c r="C828" s="2" t="s">
        <v>175</v>
      </c>
      <c r="D828" s="2" t="s">
        <v>176</v>
      </c>
      <c r="E828" s="2" t="s">
        <v>107</v>
      </c>
      <c r="F828" s="2" t="s">
        <v>59</v>
      </c>
      <c r="G828" s="2" t="s">
        <v>44</v>
      </c>
      <c r="H828" s="3">
        <v>15228</v>
      </c>
      <c r="I828" s="4">
        <v>25</v>
      </c>
      <c r="J828" s="5">
        <v>4.05</v>
      </c>
      <c r="K828" s="4">
        <v>70</v>
      </c>
      <c r="L828" s="3">
        <f t="shared" si="36"/>
        <v>4568.4000000000005</v>
      </c>
      <c r="M828" s="3">
        <f t="shared" si="37"/>
        <v>56.559999772425911</v>
      </c>
      <c r="N828" s="3">
        <v>248.6</v>
      </c>
      <c r="O828" s="5">
        <f t="shared" si="38"/>
        <v>22.751407792608973</v>
      </c>
      <c r="P828" s="2" t="s">
        <v>23</v>
      </c>
    </row>
    <row r="829" spans="1:16" x14ac:dyDescent="0.2">
      <c r="A829" s="2" t="s">
        <v>1214</v>
      </c>
      <c r="B829" s="2" t="s">
        <v>1215</v>
      </c>
      <c r="C829" s="2" t="s">
        <v>146</v>
      </c>
      <c r="D829" s="2" t="s">
        <v>19</v>
      </c>
      <c r="E829" s="2" t="s">
        <v>78</v>
      </c>
      <c r="F829" s="2" t="s">
        <v>21</v>
      </c>
      <c r="G829" s="2" t="s">
        <v>35</v>
      </c>
      <c r="H829" s="3">
        <v>4708</v>
      </c>
      <c r="I829" s="4">
        <v>20</v>
      </c>
      <c r="J829" s="5">
        <v>4.09</v>
      </c>
      <c r="K829" s="4">
        <v>90</v>
      </c>
      <c r="L829" s="3">
        <f t="shared" si="36"/>
        <v>470.7999999999999</v>
      </c>
      <c r="M829" s="3">
        <f t="shared" si="37"/>
        <v>25.877987672831313</v>
      </c>
      <c r="N829" s="3">
        <v>49.9</v>
      </c>
      <c r="O829" s="5">
        <f t="shared" si="38"/>
        <v>51.859694735132891</v>
      </c>
      <c r="P829" s="2" t="s">
        <v>36</v>
      </c>
    </row>
    <row r="830" spans="1:16" x14ac:dyDescent="0.2">
      <c r="A830" s="2" t="s">
        <v>1216</v>
      </c>
      <c r="B830" s="2" t="s">
        <v>1135</v>
      </c>
      <c r="C830" s="2" t="s">
        <v>153</v>
      </c>
      <c r="D830" s="2" t="s">
        <v>19</v>
      </c>
      <c r="E830" s="2" t="s">
        <v>97</v>
      </c>
      <c r="F830" s="2" t="s">
        <v>59</v>
      </c>
      <c r="G830" s="2" t="s">
        <v>22</v>
      </c>
      <c r="H830" s="3">
        <v>14735</v>
      </c>
      <c r="I830" s="4">
        <v>25</v>
      </c>
      <c r="J830" s="5">
        <v>4.57</v>
      </c>
      <c r="K830" s="4">
        <v>80</v>
      </c>
      <c r="L830" s="3">
        <f t="shared" si="36"/>
        <v>2946.9999999999995</v>
      </c>
      <c r="M830" s="3">
        <f t="shared" si="37"/>
        <v>65.990774949204251</v>
      </c>
      <c r="N830" s="3">
        <v>168.1</v>
      </c>
      <c r="O830" s="5">
        <f t="shared" si="38"/>
        <v>39.256856007854999</v>
      </c>
      <c r="P830" s="2" t="s">
        <v>36</v>
      </c>
    </row>
    <row r="831" spans="1:16" x14ac:dyDescent="0.2">
      <c r="A831" s="2" t="s">
        <v>1217</v>
      </c>
      <c r="B831" s="2" t="s">
        <v>279</v>
      </c>
      <c r="C831" s="2" t="s">
        <v>26</v>
      </c>
      <c r="D831" s="2" t="s">
        <v>27</v>
      </c>
      <c r="E831" s="2" t="s">
        <v>81</v>
      </c>
      <c r="F831" s="2" t="s">
        <v>34</v>
      </c>
      <c r="G831" s="2" t="s">
        <v>98</v>
      </c>
      <c r="H831" s="3">
        <v>3927</v>
      </c>
      <c r="I831" s="4">
        <v>30</v>
      </c>
      <c r="J831" s="5">
        <v>4.41</v>
      </c>
      <c r="K831" s="4">
        <v>85</v>
      </c>
      <c r="L831" s="3">
        <f t="shared" si="36"/>
        <v>589.05000000000007</v>
      </c>
      <c r="M831" s="3">
        <f t="shared" si="37"/>
        <v>16.734871831441936</v>
      </c>
      <c r="N831" s="3">
        <v>47.7</v>
      </c>
      <c r="O831" s="5">
        <f t="shared" si="38"/>
        <v>35.083588745161286</v>
      </c>
      <c r="P831" s="2" t="s">
        <v>29</v>
      </c>
    </row>
    <row r="832" spans="1:16" x14ac:dyDescent="0.2">
      <c r="A832" s="2" t="s">
        <v>1218</v>
      </c>
      <c r="B832" s="2" t="s">
        <v>775</v>
      </c>
      <c r="C832" s="2" t="s">
        <v>67</v>
      </c>
      <c r="D832" s="2" t="s">
        <v>67</v>
      </c>
      <c r="E832" s="2" t="s">
        <v>33</v>
      </c>
      <c r="F832" s="2" t="s">
        <v>50</v>
      </c>
      <c r="G832" s="2" t="s">
        <v>44</v>
      </c>
      <c r="H832" s="3">
        <v>2106</v>
      </c>
      <c r="I832" s="4">
        <v>25</v>
      </c>
      <c r="J832" s="5">
        <v>5.16</v>
      </c>
      <c r="K832" s="4">
        <v>70</v>
      </c>
      <c r="L832" s="3">
        <f t="shared" si="36"/>
        <v>631.80000000000007</v>
      </c>
      <c r="M832" s="3">
        <f t="shared" si="37"/>
        <v>8.7560082702715771</v>
      </c>
      <c r="N832" s="3">
        <v>27.1</v>
      </c>
      <c r="O832" s="5">
        <f t="shared" si="38"/>
        <v>32.309993617238291</v>
      </c>
      <c r="P832" s="2" t="s">
        <v>29</v>
      </c>
    </row>
    <row r="833" spans="1:16" x14ac:dyDescent="0.2">
      <c r="A833" s="2" t="s">
        <v>1219</v>
      </c>
      <c r="B833" s="2" t="s">
        <v>196</v>
      </c>
      <c r="C833" s="2" t="s">
        <v>26</v>
      </c>
      <c r="D833" s="2" t="s">
        <v>27</v>
      </c>
      <c r="E833" s="2" t="s">
        <v>177</v>
      </c>
      <c r="F833" s="2" t="s">
        <v>50</v>
      </c>
      <c r="G833" s="2" t="s">
        <v>44</v>
      </c>
      <c r="H833" s="3">
        <v>8529</v>
      </c>
      <c r="I833" s="4">
        <v>15</v>
      </c>
      <c r="J833" s="5">
        <v>4.49</v>
      </c>
      <c r="K833" s="4">
        <v>80</v>
      </c>
      <c r="L833" s="3">
        <f t="shared" si="36"/>
        <v>1705.7999999999997</v>
      </c>
      <c r="M833" s="3">
        <f t="shared" si="37"/>
        <v>52.162157202243982</v>
      </c>
      <c r="N833" s="3">
        <v>89.8</v>
      </c>
      <c r="O833" s="5">
        <f t="shared" si="38"/>
        <v>58.087034746374144</v>
      </c>
      <c r="P833" s="2" t="s">
        <v>36</v>
      </c>
    </row>
    <row r="834" spans="1:16" x14ac:dyDescent="0.2">
      <c r="A834" s="2" t="s">
        <v>1220</v>
      </c>
      <c r="B834" s="2" t="s">
        <v>1221</v>
      </c>
      <c r="C834" s="2" t="s">
        <v>146</v>
      </c>
      <c r="D834" s="2" t="s">
        <v>19</v>
      </c>
      <c r="E834" s="2" t="s">
        <v>49</v>
      </c>
      <c r="F834" s="2" t="s">
        <v>50</v>
      </c>
      <c r="G834" s="2" t="s">
        <v>98</v>
      </c>
      <c r="H834" s="3">
        <v>10441</v>
      </c>
      <c r="I834" s="4">
        <v>15</v>
      </c>
      <c r="J834" s="5">
        <v>4.66</v>
      </c>
      <c r="K834" s="4">
        <v>70</v>
      </c>
      <c r="L834" s="3">
        <f t="shared" ref="L834:L897" si="39">H834*(1-K834/100)</f>
        <v>3132.3000000000006</v>
      </c>
      <c r="M834" s="3">
        <f t="shared" ref="M834:M897" si="40">PMT(J834/100/12, I834*12, -(H834*K834/100))</f>
        <v>56.510561200313759</v>
      </c>
      <c r="N834" s="3">
        <v>112.8</v>
      </c>
      <c r="O834" s="5">
        <f t="shared" ref="O834:O897" si="41">IFERROR(M834/N834*100,0)</f>
        <v>50.098015248505114</v>
      </c>
      <c r="P834" s="2" t="s">
        <v>36</v>
      </c>
    </row>
    <row r="835" spans="1:16" x14ac:dyDescent="0.2">
      <c r="A835" s="2" t="s">
        <v>1222</v>
      </c>
      <c r="B835" s="2" t="s">
        <v>737</v>
      </c>
      <c r="C835" s="2" t="s">
        <v>56</v>
      </c>
      <c r="D835" s="2" t="s">
        <v>57</v>
      </c>
      <c r="E835" s="2" t="s">
        <v>58</v>
      </c>
      <c r="F835" s="2" t="s">
        <v>21</v>
      </c>
      <c r="G835" s="2" t="s">
        <v>22</v>
      </c>
      <c r="H835" s="3">
        <v>1969</v>
      </c>
      <c r="I835" s="4">
        <v>30</v>
      </c>
      <c r="J835" s="5">
        <v>5.34</v>
      </c>
      <c r="K835" s="4">
        <v>90</v>
      </c>
      <c r="L835" s="3">
        <f t="shared" si="39"/>
        <v>196.89999999999995</v>
      </c>
      <c r="M835" s="3">
        <f t="shared" si="40"/>
        <v>9.8846185757526239</v>
      </c>
      <c r="N835" s="3">
        <v>21.6</v>
      </c>
      <c r="O835" s="5">
        <f t="shared" si="41"/>
        <v>45.762123035891769</v>
      </c>
      <c r="P835" s="2" t="s">
        <v>23</v>
      </c>
    </row>
    <row r="836" spans="1:16" x14ac:dyDescent="0.2">
      <c r="A836" s="2" t="s">
        <v>1223</v>
      </c>
      <c r="B836" s="2" t="s">
        <v>826</v>
      </c>
      <c r="C836" s="2" t="s">
        <v>175</v>
      </c>
      <c r="D836" s="2" t="s">
        <v>176</v>
      </c>
      <c r="E836" s="2" t="s">
        <v>20</v>
      </c>
      <c r="F836" s="2" t="s">
        <v>50</v>
      </c>
      <c r="G836" s="2" t="s">
        <v>98</v>
      </c>
      <c r="H836" s="3">
        <v>3440</v>
      </c>
      <c r="I836" s="4">
        <v>20</v>
      </c>
      <c r="J836" s="5">
        <v>4.0999999999999996</v>
      </c>
      <c r="K836" s="4">
        <v>70</v>
      </c>
      <c r="L836" s="3">
        <f t="shared" si="39"/>
        <v>1032.0000000000002</v>
      </c>
      <c r="M836" s="3">
        <f t="shared" si="40"/>
        <v>14.719203523269542</v>
      </c>
      <c r="N836" s="3">
        <v>37.200000000000003</v>
      </c>
      <c r="O836" s="5">
        <f t="shared" si="41"/>
        <v>39.56775140663855</v>
      </c>
      <c r="P836" s="2" t="s">
        <v>36</v>
      </c>
    </row>
    <row r="837" spans="1:16" x14ac:dyDescent="0.2">
      <c r="A837" s="2" t="s">
        <v>1224</v>
      </c>
      <c r="B837" s="2" t="s">
        <v>118</v>
      </c>
      <c r="C837" s="2" t="s">
        <v>131</v>
      </c>
      <c r="D837" s="2" t="s">
        <v>27</v>
      </c>
      <c r="E837" s="2" t="s">
        <v>74</v>
      </c>
      <c r="F837" s="2" t="s">
        <v>59</v>
      </c>
      <c r="G837" s="2" t="s">
        <v>44</v>
      </c>
      <c r="H837" s="3">
        <v>17598</v>
      </c>
      <c r="I837" s="4">
        <v>20</v>
      </c>
      <c r="J837" s="5">
        <v>5.35</v>
      </c>
      <c r="K837" s="4">
        <v>80</v>
      </c>
      <c r="L837" s="3">
        <f t="shared" si="39"/>
        <v>3519.599999999999</v>
      </c>
      <c r="M837" s="3">
        <f t="shared" si="40"/>
        <v>95.65469609807765</v>
      </c>
      <c r="N837" s="3">
        <v>207.9</v>
      </c>
      <c r="O837" s="5">
        <f t="shared" si="41"/>
        <v>46.009954833130188</v>
      </c>
      <c r="P837" s="2" t="s">
        <v>36</v>
      </c>
    </row>
    <row r="838" spans="1:16" x14ac:dyDescent="0.2">
      <c r="A838" s="2" t="s">
        <v>1225</v>
      </c>
      <c r="B838" s="2" t="s">
        <v>826</v>
      </c>
      <c r="C838" s="2" t="s">
        <v>39</v>
      </c>
      <c r="D838" s="2" t="s">
        <v>40</v>
      </c>
      <c r="E838" s="2" t="s">
        <v>88</v>
      </c>
      <c r="F838" s="2" t="s">
        <v>50</v>
      </c>
      <c r="G838" s="2" t="s">
        <v>35</v>
      </c>
      <c r="H838" s="3">
        <v>14347</v>
      </c>
      <c r="I838" s="4">
        <v>20</v>
      </c>
      <c r="J838" s="5">
        <v>4</v>
      </c>
      <c r="K838" s="4">
        <v>80</v>
      </c>
      <c r="L838" s="3">
        <f t="shared" si="39"/>
        <v>2869.3999999999992</v>
      </c>
      <c r="M838" s="3">
        <f t="shared" si="40"/>
        <v>69.551998275670073</v>
      </c>
      <c r="N838" s="3">
        <v>165.8</v>
      </c>
      <c r="O838" s="5">
        <f t="shared" si="41"/>
        <v>41.949335510054325</v>
      </c>
      <c r="P838" s="2" t="s">
        <v>36</v>
      </c>
    </row>
    <row r="839" spans="1:16" x14ac:dyDescent="0.2">
      <c r="A839" s="2" t="s">
        <v>1226</v>
      </c>
      <c r="B839" s="2" t="s">
        <v>122</v>
      </c>
      <c r="C839" s="2" t="s">
        <v>67</v>
      </c>
      <c r="D839" s="2" t="s">
        <v>67</v>
      </c>
      <c r="E839" s="2" t="s">
        <v>58</v>
      </c>
      <c r="F839" s="2" t="s">
        <v>21</v>
      </c>
      <c r="G839" s="2" t="s">
        <v>22</v>
      </c>
      <c r="H839" s="3">
        <v>5549</v>
      </c>
      <c r="I839" s="4">
        <v>20</v>
      </c>
      <c r="J839" s="5">
        <v>5.55</v>
      </c>
      <c r="K839" s="4">
        <v>80</v>
      </c>
      <c r="L839" s="3">
        <f t="shared" si="39"/>
        <v>1109.7999999999997</v>
      </c>
      <c r="M839" s="3">
        <f t="shared" si="40"/>
        <v>30.662191740476352</v>
      </c>
      <c r="N839" s="3">
        <v>66.400000000000006</v>
      </c>
      <c r="O839" s="5">
        <f t="shared" si="41"/>
        <v>46.177999609151129</v>
      </c>
      <c r="P839" s="2" t="s">
        <v>36</v>
      </c>
    </row>
    <row r="840" spans="1:16" x14ac:dyDescent="0.2">
      <c r="A840" s="2" t="s">
        <v>1227</v>
      </c>
      <c r="B840" s="2" t="s">
        <v>317</v>
      </c>
      <c r="C840" s="2" t="s">
        <v>56</v>
      </c>
      <c r="D840" s="2" t="s">
        <v>57</v>
      </c>
      <c r="E840" s="2" t="s">
        <v>114</v>
      </c>
      <c r="F840" s="2" t="s">
        <v>59</v>
      </c>
      <c r="G840" s="2" t="s">
        <v>44</v>
      </c>
      <c r="H840" s="3">
        <v>17619</v>
      </c>
      <c r="I840" s="4">
        <v>25</v>
      </c>
      <c r="J840" s="5">
        <v>4.8600000000000003</v>
      </c>
      <c r="K840" s="4">
        <v>85</v>
      </c>
      <c r="L840" s="3">
        <f t="shared" si="39"/>
        <v>2642.8500000000004</v>
      </c>
      <c r="M840" s="3">
        <f t="shared" si="40"/>
        <v>86.331868890613492</v>
      </c>
      <c r="N840" s="3">
        <v>226.3</v>
      </c>
      <c r="O840" s="5">
        <f t="shared" si="41"/>
        <v>38.149301321526067</v>
      </c>
      <c r="P840" s="2" t="s">
        <v>29</v>
      </c>
    </row>
    <row r="841" spans="1:16" x14ac:dyDescent="0.2">
      <c r="A841" s="2" t="s">
        <v>1228</v>
      </c>
      <c r="B841" s="2" t="s">
        <v>645</v>
      </c>
      <c r="C841" s="2" t="s">
        <v>32</v>
      </c>
      <c r="D841" s="2" t="s">
        <v>32</v>
      </c>
      <c r="E841" s="2" t="s">
        <v>58</v>
      </c>
      <c r="F841" s="2" t="s">
        <v>50</v>
      </c>
      <c r="G841" s="2" t="s">
        <v>35</v>
      </c>
      <c r="H841" s="3">
        <v>11530</v>
      </c>
      <c r="I841" s="4">
        <v>25</v>
      </c>
      <c r="J841" s="5">
        <v>4.8</v>
      </c>
      <c r="K841" s="4">
        <v>75</v>
      </c>
      <c r="L841" s="3">
        <f t="shared" si="39"/>
        <v>2882.5</v>
      </c>
      <c r="M841" s="3">
        <f t="shared" si="40"/>
        <v>49.549912294731406</v>
      </c>
      <c r="N841" s="3">
        <v>152.19999999999999</v>
      </c>
      <c r="O841" s="5">
        <f t="shared" si="41"/>
        <v>32.555789943975959</v>
      </c>
      <c r="P841" s="2" t="s">
        <v>23</v>
      </c>
    </row>
    <row r="842" spans="1:16" x14ac:dyDescent="0.2">
      <c r="A842" s="2" t="s">
        <v>1229</v>
      </c>
      <c r="B842" s="2" t="s">
        <v>1230</v>
      </c>
      <c r="C842" s="2" t="s">
        <v>62</v>
      </c>
      <c r="D842" s="2" t="s">
        <v>63</v>
      </c>
      <c r="E842" s="2" t="s">
        <v>33</v>
      </c>
      <c r="F842" s="2" t="s">
        <v>59</v>
      </c>
      <c r="G842" s="2" t="s">
        <v>35</v>
      </c>
      <c r="H842" s="3">
        <v>4169</v>
      </c>
      <c r="I842" s="4">
        <v>25</v>
      </c>
      <c r="J842" s="5">
        <v>5.14</v>
      </c>
      <c r="K842" s="4">
        <v>80</v>
      </c>
      <c r="L842" s="3">
        <f t="shared" si="39"/>
        <v>833.79999999999984</v>
      </c>
      <c r="M842" s="3">
        <f t="shared" si="40"/>
        <v>19.770256172955001</v>
      </c>
      <c r="N842" s="3">
        <v>64.2</v>
      </c>
      <c r="O842" s="5">
        <f t="shared" si="41"/>
        <v>30.794791546658878</v>
      </c>
      <c r="P842" s="2" t="s">
        <v>36</v>
      </c>
    </row>
    <row r="843" spans="1:16" x14ac:dyDescent="0.2">
      <c r="A843" s="2" t="s">
        <v>1231</v>
      </c>
      <c r="B843" s="2" t="s">
        <v>602</v>
      </c>
      <c r="C843" s="2" t="s">
        <v>119</v>
      </c>
      <c r="D843" s="2" t="s">
        <v>120</v>
      </c>
      <c r="E843" s="2" t="s">
        <v>97</v>
      </c>
      <c r="F843" s="2" t="s">
        <v>50</v>
      </c>
      <c r="G843" s="2" t="s">
        <v>22</v>
      </c>
      <c r="H843" s="3">
        <v>10024</v>
      </c>
      <c r="I843" s="4">
        <v>25</v>
      </c>
      <c r="J843" s="5">
        <v>5.08</v>
      </c>
      <c r="K843" s="4">
        <v>90</v>
      </c>
      <c r="L843" s="3">
        <f t="shared" si="39"/>
        <v>1002.3999999999997</v>
      </c>
      <c r="M843" s="3">
        <f t="shared" si="40"/>
        <v>53.160725850029145</v>
      </c>
      <c r="N843" s="3">
        <v>113.3</v>
      </c>
      <c r="O843" s="5">
        <f t="shared" si="41"/>
        <v>46.92032290382096</v>
      </c>
      <c r="P843" s="2" t="s">
        <v>69</v>
      </c>
    </row>
    <row r="844" spans="1:16" x14ac:dyDescent="0.2">
      <c r="A844" s="2" t="s">
        <v>1232</v>
      </c>
      <c r="B844" s="2" t="s">
        <v>248</v>
      </c>
      <c r="C844" s="2" t="s">
        <v>62</v>
      </c>
      <c r="D844" s="2" t="s">
        <v>63</v>
      </c>
      <c r="E844" s="2" t="s">
        <v>41</v>
      </c>
      <c r="F844" s="2" t="s">
        <v>34</v>
      </c>
      <c r="G844" s="2" t="s">
        <v>44</v>
      </c>
      <c r="H844" s="3">
        <v>11154</v>
      </c>
      <c r="I844" s="4">
        <v>25</v>
      </c>
      <c r="J844" s="5">
        <v>4.58</v>
      </c>
      <c r="K844" s="4">
        <v>80</v>
      </c>
      <c r="L844" s="3">
        <f t="shared" si="39"/>
        <v>2230.7999999999997</v>
      </c>
      <c r="M844" s="3">
        <f t="shared" si="40"/>
        <v>50.004099543725268</v>
      </c>
      <c r="N844" s="3">
        <v>160.9</v>
      </c>
      <c r="O844" s="5">
        <f t="shared" si="41"/>
        <v>31.077749871799419</v>
      </c>
      <c r="P844" s="2" t="s">
        <v>36</v>
      </c>
    </row>
    <row r="845" spans="1:16" x14ac:dyDescent="0.2">
      <c r="A845" s="2" t="s">
        <v>1233</v>
      </c>
      <c r="B845" s="2" t="s">
        <v>96</v>
      </c>
      <c r="C845" s="2" t="s">
        <v>119</v>
      </c>
      <c r="D845" s="2" t="s">
        <v>120</v>
      </c>
      <c r="E845" s="2" t="s">
        <v>78</v>
      </c>
      <c r="F845" s="2" t="s">
        <v>21</v>
      </c>
      <c r="G845" s="2" t="s">
        <v>98</v>
      </c>
      <c r="H845" s="3">
        <v>9982</v>
      </c>
      <c r="I845" s="4">
        <v>30</v>
      </c>
      <c r="J845" s="5">
        <v>5.61</v>
      </c>
      <c r="K845" s="4">
        <v>75</v>
      </c>
      <c r="L845" s="3">
        <f t="shared" si="39"/>
        <v>2495.5</v>
      </c>
      <c r="M845" s="3">
        <f t="shared" si="40"/>
        <v>43.025642760554746</v>
      </c>
      <c r="N845" s="3">
        <v>109.3</v>
      </c>
      <c r="O845" s="5">
        <f t="shared" si="41"/>
        <v>39.364723477177257</v>
      </c>
      <c r="P845" s="2" t="s">
        <v>29</v>
      </c>
    </row>
    <row r="846" spans="1:16" x14ac:dyDescent="0.2">
      <c r="A846" s="2" t="s">
        <v>1234</v>
      </c>
      <c r="B846" s="2" t="s">
        <v>126</v>
      </c>
      <c r="C846" s="2" t="s">
        <v>32</v>
      </c>
      <c r="D846" s="2" t="s">
        <v>32</v>
      </c>
      <c r="E846" s="2" t="s">
        <v>74</v>
      </c>
      <c r="F846" s="2" t="s">
        <v>34</v>
      </c>
      <c r="G846" s="2" t="s">
        <v>35</v>
      </c>
      <c r="H846" s="3">
        <v>10831</v>
      </c>
      <c r="I846" s="4">
        <v>25</v>
      </c>
      <c r="J846" s="5">
        <v>3.91</v>
      </c>
      <c r="K846" s="4">
        <v>90</v>
      </c>
      <c r="L846" s="3">
        <f t="shared" si="39"/>
        <v>1083.0999999999997</v>
      </c>
      <c r="M846" s="3">
        <f t="shared" si="40"/>
        <v>50.969833836932438</v>
      </c>
      <c r="N846" s="3">
        <v>174.7</v>
      </c>
      <c r="O846" s="5">
        <f t="shared" si="41"/>
        <v>29.175634709177128</v>
      </c>
      <c r="P846" s="2" t="s">
        <v>69</v>
      </c>
    </row>
    <row r="847" spans="1:16" x14ac:dyDescent="0.2">
      <c r="A847" s="2" t="s">
        <v>1235</v>
      </c>
      <c r="B847" s="2" t="s">
        <v>1221</v>
      </c>
      <c r="C847" s="2" t="s">
        <v>53</v>
      </c>
      <c r="D847" s="2" t="s">
        <v>19</v>
      </c>
      <c r="E847" s="2" t="s">
        <v>88</v>
      </c>
      <c r="F847" s="2" t="s">
        <v>28</v>
      </c>
      <c r="G847" s="2" t="s">
        <v>98</v>
      </c>
      <c r="H847" s="3">
        <v>13882</v>
      </c>
      <c r="I847" s="4">
        <v>25</v>
      </c>
      <c r="J847" s="5">
        <v>4.84</v>
      </c>
      <c r="K847" s="4">
        <v>80</v>
      </c>
      <c r="L847" s="3">
        <f t="shared" si="39"/>
        <v>2776.3999999999992</v>
      </c>
      <c r="M847" s="3">
        <f t="shared" si="40"/>
        <v>63.891187189950479</v>
      </c>
      <c r="N847" s="3">
        <v>182.2</v>
      </c>
      <c r="O847" s="5">
        <f t="shared" si="41"/>
        <v>35.06651327659192</v>
      </c>
      <c r="P847" s="2" t="s">
        <v>36</v>
      </c>
    </row>
    <row r="848" spans="1:16" x14ac:dyDescent="0.2">
      <c r="A848" s="2" t="s">
        <v>1236</v>
      </c>
      <c r="B848" s="2" t="s">
        <v>830</v>
      </c>
      <c r="C848" s="2" t="s">
        <v>131</v>
      </c>
      <c r="D848" s="2" t="s">
        <v>27</v>
      </c>
      <c r="E848" s="2" t="s">
        <v>177</v>
      </c>
      <c r="F848" s="2" t="s">
        <v>28</v>
      </c>
      <c r="G848" s="2" t="s">
        <v>35</v>
      </c>
      <c r="H848" s="3">
        <v>12595</v>
      </c>
      <c r="I848" s="4">
        <v>15</v>
      </c>
      <c r="J848" s="5">
        <v>5.43</v>
      </c>
      <c r="K848" s="4">
        <v>90</v>
      </c>
      <c r="L848" s="3">
        <f t="shared" si="39"/>
        <v>1259.4999999999998</v>
      </c>
      <c r="M848" s="3">
        <f t="shared" si="40"/>
        <v>92.199967662643289</v>
      </c>
      <c r="N848" s="3">
        <v>209.9</v>
      </c>
      <c r="O848" s="5">
        <f t="shared" si="41"/>
        <v>43.92566348863425</v>
      </c>
      <c r="P848" s="2" t="s">
        <v>36</v>
      </c>
    </row>
    <row r="849" spans="1:16" x14ac:dyDescent="0.2">
      <c r="A849" s="2" t="s">
        <v>1237</v>
      </c>
      <c r="B849" s="2" t="s">
        <v>1238</v>
      </c>
      <c r="C849" s="2" t="s">
        <v>146</v>
      </c>
      <c r="D849" s="2" t="s">
        <v>19</v>
      </c>
      <c r="E849" s="2" t="s">
        <v>58</v>
      </c>
      <c r="F849" s="2" t="s">
        <v>34</v>
      </c>
      <c r="G849" s="2" t="s">
        <v>35</v>
      </c>
      <c r="H849" s="3">
        <v>12982</v>
      </c>
      <c r="I849" s="4">
        <v>30</v>
      </c>
      <c r="J849" s="5">
        <v>5.67</v>
      </c>
      <c r="K849" s="4">
        <v>80</v>
      </c>
      <c r="L849" s="3">
        <f t="shared" si="39"/>
        <v>2596.3999999999996</v>
      </c>
      <c r="M849" s="3">
        <f t="shared" si="40"/>
        <v>60.080769472271975</v>
      </c>
      <c r="N849" s="3">
        <v>147.69999999999999</v>
      </c>
      <c r="O849" s="5">
        <f t="shared" si="41"/>
        <v>40.677569040129981</v>
      </c>
      <c r="P849" s="2" t="s">
        <v>36</v>
      </c>
    </row>
    <row r="850" spans="1:16" x14ac:dyDescent="0.2">
      <c r="A850" s="2" t="s">
        <v>1239</v>
      </c>
      <c r="B850" s="2" t="s">
        <v>198</v>
      </c>
      <c r="C850" s="2" t="s">
        <v>72</v>
      </c>
      <c r="D850" s="2" t="s">
        <v>73</v>
      </c>
      <c r="E850" s="2" t="s">
        <v>107</v>
      </c>
      <c r="F850" s="2" t="s">
        <v>28</v>
      </c>
      <c r="G850" s="2" t="s">
        <v>35</v>
      </c>
      <c r="H850" s="3">
        <v>1631</v>
      </c>
      <c r="I850" s="4">
        <v>15</v>
      </c>
      <c r="J850" s="5">
        <v>4.2699999999999996</v>
      </c>
      <c r="K850" s="4">
        <v>70</v>
      </c>
      <c r="L850" s="3">
        <f t="shared" si="39"/>
        <v>489.30000000000007</v>
      </c>
      <c r="M850" s="3">
        <f t="shared" si="40"/>
        <v>8.6003237122438829</v>
      </c>
      <c r="N850" s="3">
        <v>18.100000000000001</v>
      </c>
      <c r="O850" s="5">
        <f t="shared" si="41"/>
        <v>47.515600620131949</v>
      </c>
      <c r="P850" s="2" t="s">
        <v>29</v>
      </c>
    </row>
    <row r="851" spans="1:16" x14ac:dyDescent="0.2">
      <c r="A851" s="2" t="s">
        <v>1240</v>
      </c>
      <c r="B851" s="2" t="s">
        <v>25</v>
      </c>
      <c r="C851" s="2" t="s">
        <v>47</v>
      </c>
      <c r="D851" s="2" t="s">
        <v>48</v>
      </c>
      <c r="E851" s="2" t="s">
        <v>97</v>
      </c>
      <c r="F851" s="2" t="s">
        <v>28</v>
      </c>
      <c r="G851" s="2" t="s">
        <v>44</v>
      </c>
      <c r="H851" s="3">
        <v>4867</v>
      </c>
      <c r="I851" s="4">
        <v>30</v>
      </c>
      <c r="J851" s="5">
        <v>5.48</v>
      </c>
      <c r="K851" s="4">
        <v>85</v>
      </c>
      <c r="L851" s="3">
        <f t="shared" si="39"/>
        <v>730.05000000000007</v>
      </c>
      <c r="M851" s="3">
        <f t="shared" si="40"/>
        <v>23.437261749091238</v>
      </c>
      <c r="N851" s="3">
        <v>51.6</v>
      </c>
      <c r="O851" s="5">
        <f t="shared" si="41"/>
        <v>45.421049901339607</v>
      </c>
      <c r="P851" s="2" t="s">
        <v>36</v>
      </c>
    </row>
    <row r="852" spans="1:16" x14ac:dyDescent="0.2">
      <c r="A852" s="2" t="s">
        <v>1241</v>
      </c>
      <c r="B852" s="2" t="s">
        <v>222</v>
      </c>
      <c r="C852" s="2" t="s">
        <v>84</v>
      </c>
      <c r="D852" s="2" t="s">
        <v>85</v>
      </c>
      <c r="E852" s="2" t="s">
        <v>49</v>
      </c>
      <c r="F852" s="2" t="s">
        <v>50</v>
      </c>
      <c r="G852" s="2" t="s">
        <v>35</v>
      </c>
      <c r="H852" s="3">
        <v>9394</v>
      </c>
      <c r="I852" s="4">
        <v>30</v>
      </c>
      <c r="J852" s="5">
        <v>5.04</v>
      </c>
      <c r="K852" s="4">
        <v>80</v>
      </c>
      <c r="L852" s="3">
        <f t="shared" si="39"/>
        <v>1878.7999999999995</v>
      </c>
      <c r="M852" s="3">
        <f t="shared" si="40"/>
        <v>40.527137096797993</v>
      </c>
      <c r="N852" s="3">
        <v>123.5</v>
      </c>
      <c r="O852" s="5">
        <f t="shared" si="41"/>
        <v>32.815495624937647</v>
      </c>
      <c r="P852" s="2" t="s">
        <v>23</v>
      </c>
    </row>
    <row r="853" spans="1:16" x14ac:dyDescent="0.2">
      <c r="A853" s="2" t="s">
        <v>1242</v>
      </c>
      <c r="B853" s="2" t="s">
        <v>943</v>
      </c>
      <c r="C853" s="2" t="s">
        <v>175</v>
      </c>
      <c r="D853" s="2" t="s">
        <v>176</v>
      </c>
      <c r="E853" s="2" t="s">
        <v>107</v>
      </c>
      <c r="F853" s="2" t="s">
        <v>21</v>
      </c>
      <c r="G853" s="2" t="s">
        <v>98</v>
      </c>
      <c r="H853" s="3">
        <v>17476</v>
      </c>
      <c r="I853" s="4">
        <v>25</v>
      </c>
      <c r="J853" s="5">
        <v>4.63</v>
      </c>
      <c r="K853" s="4">
        <v>80</v>
      </c>
      <c r="L853" s="3">
        <f t="shared" si="39"/>
        <v>3495.1999999999994</v>
      </c>
      <c r="M853" s="3">
        <f t="shared" si="40"/>
        <v>78.74504006420905</v>
      </c>
      <c r="N853" s="3">
        <v>188.5</v>
      </c>
      <c r="O853" s="5">
        <f t="shared" si="41"/>
        <v>41.774557063240877</v>
      </c>
      <c r="P853" s="2" t="s">
        <v>36</v>
      </c>
    </row>
    <row r="854" spans="1:16" x14ac:dyDescent="0.2">
      <c r="A854" s="2" t="s">
        <v>1243</v>
      </c>
      <c r="B854" s="2" t="s">
        <v>267</v>
      </c>
      <c r="C854" s="2" t="s">
        <v>131</v>
      </c>
      <c r="D854" s="2" t="s">
        <v>27</v>
      </c>
      <c r="E854" s="2" t="s">
        <v>68</v>
      </c>
      <c r="F854" s="2" t="s">
        <v>28</v>
      </c>
      <c r="G854" s="2" t="s">
        <v>35</v>
      </c>
      <c r="H854" s="3">
        <v>4996</v>
      </c>
      <c r="I854" s="4">
        <v>25</v>
      </c>
      <c r="J854" s="5">
        <v>5.33</v>
      </c>
      <c r="K854" s="4">
        <v>75</v>
      </c>
      <c r="L854" s="3">
        <f t="shared" si="39"/>
        <v>1249</v>
      </c>
      <c r="M854" s="3">
        <f t="shared" si="40"/>
        <v>22.631009633274587</v>
      </c>
      <c r="N854" s="3">
        <v>53.4</v>
      </c>
      <c r="O854" s="5">
        <f t="shared" si="41"/>
        <v>42.380167852574132</v>
      </c>
      <c r="P854" s="2" t="s">
        <v>23</v>
      </c>
    </row>
    <row r="855" spans="1:16" x14ac:dyDescent="0.2">
      <c r="A855" s="2" t="s">
        <v>1244</v>
      </c>
      <c r="B855" s="2" t="s">
        <v>935</v>
      </c>
      <c r="C855" s="2" t="s">
        <v>131</v>
      </c>
      <c r="D855" s="2" t="s">
        <v>27</v>
      </c>
      <c r="E855" s="2" t="s">
        <v>78</v>
      </c>
      <c r="F855" s="2" t="s">
        <v>34</v>
      </c>
      <c r="G855" s="2" t="s">
        <v>98</v>
      </c>
      <c r="H855" s="3">
        <v>6775</v>
      </c>
      <c r="I855" s="4">
        <v>30</v>
      </c>
      <c r="J855" s="5">
        <v>5.36</v>
      </c>
      <c r="K855" s="4">
        <v>80</v>
      </c>
      <c r="L855" s="3">
        <f t="shared" si="39"/>
        <v>1354.9999999999998</v>
      </c>
      <c r="M855" s="3">
        <f t="shared" si="40"/>
        <v>30.299776724942561</v>
      </c>
      <c r="N855" s="3">
        <v>108.6</v>
      </c>
      <c r="O855" s="5">
        <f t="shared" si="41"/>
        <v>27.900346892212301</v>
      </c>
      <c r="P855" s="2" t="s">
        <v>36</v>
      </c>
    </row>
    <row r="856" spans="1:16" x14ac:dyDescent="0.2">
      <c r="A856" s="2" t="s">
        <v>1245</v>
      </c>
      <c r="B856" s="2" t="s">
        <v>594</v>
      </c>
      <c r="C856" s="2" t="s">
        <v>119</v>
      </c>
      <c r="D856" s="2" t="s">
        <v>120</v>
      </c>
      <c r="E856" s="2" t="s">
        <v>78</v>
      </c>
      <c r="F856" s="2" t="s">
        <v>28</v>
      </c>
      <c r="G856" s="2" t="s">
        <v>98</v>
      </c>
      <c r="H856" s="3">
        <v>12861</v>
      </c>
      <c r="I856" s="4">
        <v>25</v>
      </c>
      <c r="J856" s="5">
        <v>4.38</v>
      </c>
      <c r="K856" s="4">
        <v>85</v>
      </c>
      <c r="L856" s="3">
        <f t="shared" si="39"/>
        <v>1929.1500000000003</v>
      </c>
      <c r="M856" s="3">
        <f t="shared" si="40"/>
        <v>60.020583291271528</v>
      </c>
      <c r="N856" s="3">
        <v>170.1</v>
      </c>
      <c r="O856" s="5">
        <f t="shared" si="41"/>
        <v>35.285469307037935</v>
      </c>
      <c r="P856" s="2" t="s">
        <v>36</v>
      </c>
    </row>
    <row r="857" spans="1:16" x14ac:dyDescent="0.2">
      <c r="A857" s="2" t="s">
        <v>1246</v>
      </c>
      <c r="B857" s="2" t="s">
        <v>172</v>
      </c>
      <c r="C857" s="2" t="s">
        <v>119</v>
      </c>
      <c r="D857" s="2" t="s">
        <v>120</v>
      </c>
      <c r="E857" s="2" t="s">
        <v>64</v>
      </c>
      <c r="F857" s="2" t="s">
        <v>50</v>
      </c>
      <c r="G857" s="2" t="s">
        <v>44</v>
      </c>
      <c r="H857" s="3">
        <v>3419</v>
      </c>
      <c r="I857" s="4">
        <v>25</v>
      </c>
      <c r="J857" s="5">
        <v>4.28</v>
      </c>
      <c r="K857" s="4">
        <v>80</v>
      </c>
      <c r="L857" s="3">
        <f t="shared" si="39"/>
        <v>683.79999999999984</v>
      </c>
      <c r="M857" s="3">
        <f t="shared" si="40"/>
        <v>14.863604151050898</v>
      </c>
      <c r="N857" s="3">
        <v>38.1</v>
      </c>
      <c r="O857" s="5">
        <f t="shared" si="41"/>
        <v>39.012084385960364</v>
      </c>
      <c r="P857" s="2" t="s">
        <v>29</v>
      </c>
    </row>
    <row r="858" spans="1:16" x14ac:dyDescent="0.2">
      <c r="A858" s="2" t="s">
        <v>1247</v>
      </c>
      <c r="B858" s="2" t="s">
        <v>1248</v>
      </c>
      <c r="C858" s="2" t="s">
        <v>47</v>
      </c>
      <c r="D858" s="2" t="s">
        <v>48</v>
      </c>
      <c r="E858" s="2" t="s">
        <v>49</v>
      </c>
      <c r="F858" s="2" t="s">
        <v>59</v>
      </c>
      <c r="G858" s="2" t="s">
        <v>22</v>
      </c>
      <c r="H858" s="3">
        <v>16557</v>
      </c>
      <c r="I858" s="4">
        <v>20</v>
      </c>
      <c r="J858" s="5">
        <v>5.6</v>
      </c>
      <c r="K858" s="4">
        <v>75</v>
      </c>
      <c r="L858" s="3">
        <f t="shared" si="39"/>
        <v>4139.25</v>
      </c>
      <c r="M858" s="3">
        <f t="shared" si="40"/>
        <v>86.122996587321495</v>
      </c>
      <c r="N858" s="3">
        <v>284.60000000000002</v>
      </c>
      <c r="O858" s="5">
        <f t="shared" si="41"/>
        <v>30.261066966732781</v>
      </c>
      <c r="P858" s="2" t="s">
        <v>36</v>
      </c>
    </row>
    <row r="859" spans="1:16" x14ac:dyDescent="0.2">
      <c r="A859" s="2" t="s">
        <v>1249</v>
      </c>
      <c r="B859" s="2" t="s">
        <v>1002</v>
      </c>
      <c r="C859" s="2" t="s">
        <v>18</v>
      </c>
      <c r="D859" s="2" t="s">
        <v>19</v>
      </c>
      <c r="E859" s="2" t="s">
        <v>41</v>
      </c>
      <c r="F859" s="2" t="s">
        <v>21</v>
      </c>
      <c r="G859" s="2" t="s">
        <v>22</v>
      </c>
      <c r="H859" s="3">
        <v>9861</v>
      </c>
      <c r="I859" s="4">
        <v>25</v>
      </c>
      <c r="J859" s="5">
        <v>4.95</v>
      </c>
      <c r="K859" s="4">
        <v>90</v>
      </c>
      <c r="L859" s="3">
        <f t="shared" si="39"/>
        <v>986.0999999999998</v>
      </c>
      <c r="M859" s="3">
        <f t="shared" si="40"/>
        <v>51.623572901079804</v>
      </c>
      <c r="N859" s="3">
        <v>113.4</v>
      </c>
      <c r="O859" s="5">
        <f t="shared" si="41"/>
        <v>45.52343289336843</v>
      </c>
      <c r="P859" s="2" t="s">
        <v>36</v>
      </c>
    </row>
    <row r="860" spans="1:16" x14ac:dyDescent="0.2">
      <c r="A860" s="2" t="s">
        <v>1250</v>
      </c>
      <c r="B860" s="2" t="s">
        <v>31</v>
      </c>
      <c r="C860" s="2" t="s">
        <v>131</v>
      </c>
      <c r="D860" s="2" t="s">
        <v>27</v>
      </c>
      <c r="E860" s="2" t="s">
        <v>88</v>
      </c>
      <c r="F860" s="2" t="s">
        <v>34</v>
      </c>
      <c r="G860" s="2" t="s">
        <v>98</v>
      </c>
      <c r="H860" s="3">
        <v>14261</v>
      </c>
      <c r="I860" s="4">
        <v>25</v>
      </c>
      <c r="J860" s="5">
        <v>4.28</v>
      </c>
      <c r="K860" s="4">
        <v>80</v>
      </c>
      <c r="L860" s="3">
        <f t="shared" si="39"/>
        <v>2852.1999999999994</v>
      </c>
      <c r="M860" s="3">
        <f t="shared" si="40"/>
        <v>61.997618835371988</v>
      </c>
      <c r="N860" s="3">
        <v>229.7</v>
      </c>
      <c r="O860" s="5">
        <f t="shared" si="41"/>
        <v>26.990691700205481</v>
      </c>
      <c r="P860" s="2" t="s">
        <v>69</v>
      </c>
    </row>
    <row r="861" spans="1:16" x14ac:dyDescent="0.2">
      <c r="A861" s="2" t="s">
        <v>1251</v>
      </c>
      <c r="B861" s="2" t="s">
        <v>538</v>
      </c>
      <c r="C861" s="2" t="s">
        <v>77</v>
      </c>
      <c r="D861" s="2" t="s">
        <v>19</v>
      </c>
      <c r="E861" s="2" t="s">
        <v>114</v>
      </c>
      <c r="F861" s="2" t="s">
        <v>50</v>
      </c>
      <c r="G861" s="2" t="s">
        <v>98</v>
      </c>
      <c r="H861" s="3">
        <v>9227</v>
      </c>
      <c r="I861" s="4">
        <v>25</v>
      </c>
      <c r="J861" s="5">
        <v>4.8499999999999996</v>
      </c>
      <c r="K861" s="4">
        <v>80</v>
      </c>
      <c r="L861" s="3">
        <f t="shared" si="39"/>
        <v>1845.3999999999996</v>
      </c>
      <c r="M861" s="3">
        <f t="shared" si="40"/>
        <v>42.509457240095074</v>
      </c>
      <c r="N861" s="3">
        <v>141.19999999999999</v>
      </c>
      <c r="O861" s="5">
        <f t="shared" si="41"/>
        <v>30.105847903750053</v>
      </c>
      <c r="P861" s="2" t="s">
        <v>69</v>
      </c>
    </row>
    <row r="862" spans="1:16" x14ac:dyDescent="0.2">
      <c r="A862" s="2" t="s">
        <v>1252</v>
      </c>
      <c r="B862" s="2" t="s">
        <v>765</v>
      </c>
      <c r="C862" s="2" t="s">
        <v>56</v>
      </c>
      <c r="D862" s="2" t="s">
        <v>57</v>
      </c>
      <c r="E862" s="2" t="s">
        <v>78</v>
      </c>
      <c r="F862" s="2" t="s">
        <v>21</v>
      </c>
      <c r="G862" s="2" t="s">
        <v>44</v>
      </c>
      <c r="H862" s="3">
        <v>8464</v>
      </c>
      <c r="I862" s="4">
        <v>25</v>
      </c>
      <c r="J862" s="5">
        <v>5.59</v>
      </c>
      <c r="K862" s="4">
        <v>80</v>
      </c>
      <c r="L862" s="3">
        <f t="shared" si="39"/>
        <v>1692.7999999999997</v>
      </c>
      <c r="M862" s="3">
        <f t="shared" si="40"/>
        <v>41.945811385966678</v>
      </c>
      <c r="N862" s="3">
        <v>94.3</v>
      </c>
      <c r="O862" s="5">
        <f t="shared" si="41"/>
        <v>44.481242190844831</v>
      </c>
      <c r="P862" s="2" t="s">
        <v>36</v>
      </c>
    </row>
    <row r="863" spans="1:16" x14ac:dyDescent="0.2">
      <c r="A863" s="2" t="s">
        <v>1253</v>
      </c>
      <c r="B863" s="2" t="s">
        <v>135</v>
      </c>
      <c r="C863" s="2" t="s">
        <v>100</v>
      </c>
      <c r="D863" s="2" t="s">
        <v>32</v>
      </c>
      <c r="E863" s="2" t="s">
        <v>74</v>
      </c>
      <c r="F863" s="2" t="s">
        <v>28</v>
      </c>
      <c r="G863" s="2" t="s">
        <v>22</v>
      </c>
      <c r="H863" s="3">
        <v>3302</v>
      </c>
      <c r="I863" s="4">
        <v>25</v>
      </c>
      <c r="J863" s="5">
        <v>5.39</v>
      </c>
      <c r="K863" s="4">
        <v>90</v>
      </c>
      <c r="L863" s="3">
        <f t="shared" si="39"/>
        <v>330.19999999999993</v>
      </c>
      <c r="M863" s="3">
        <f t="shared" si="40"/>
        <v>18.054747232188102</v>
      </c>
      <c r="N863" s="3">
        <v>39.9</v>
      </c>
      <c r="O863" s="5">
        <f t="shared" si="41"/>
        <v>45.24999306312808</v>
      </c>
      <c r="P863" s="2" t="s">
        <v>36</v>
      </c>
    </row>
    <row r="864" spans="1:16" x14ac:dyDescent="0.2">
      <c r="A864" s="2" t="s">
        <v>1254</v>
      </c>
      <c r="B864" s="2" t="s">
        <v>315</v>
      </c>
      <c r="C864" s="2" t="s">
        <v>131</v>
      </c>
      <c r="D864" s="2" t="s">
        <v>27</v>
      </c>
      <c r="E864" s="2" t="s">
        <v>114</v>
      </c>
      <c r="F864" s="2" t="s">
        <v>50</v>
      </c>
      <c r="G864" s="2" t="s">
        <v>22</v>
      </c>
      <c r="H864" s="3">
        <v>13892</v>
      </c>
      <c r="I864" s="4">
        <v>20</v>
      </c>
      <c r="J864" s="5">
        <v>4.68</v>
      </c>
      <c r="K864" s="4">
        <v>80</v>
      </c>
      <c r="L864" s="3">
        <f t="shared" si="39"/>
        <v>2778.3999999999992</v>
      </c>
      <c r="M864" s="3">
        <f t="shared" si="40"/>
        <v>71.394528803094545</v>
      </c>
      <c r="N864" s="3">
        <v>236.7</v>
      </c>
      <c r="O864" s="5">
        <f t="shared" si="41"/>
        <v>30.162454078197946</v>
      </c>
      <c r="P864" s="2" t="s">
        <v>36</v>
      </c>
    </row>
    <row r="865" spans="1:16" x14ac:dyDescent="0.2">
      <c r="A865" s="2" t="s">
        <v>1255</v>
      </c>
      <c r="B865" s="2" t="s">
        <v>1205</v>
      </c>
      <c r="C865" s="2" t="s">
        <v>26</v>
      </c>
      <c r="D865" s="2" t="s">
        <v>27</v>
      </c>
      <c r="E865" s="2" t="s">
        <v>20</v>
      </c>
      <c r="F865" s="2" t="s">
        <v>50</v>
      </c>
      <c r="G865" s="2" t="s">
        <v>22</v>
      </c>
      <c r="H865" s="3">
        <v>12502</v>
      </c>
      <c r="I865" s="4">
        <v>30</v>
      </c>
      <c r="J865" s="5">
        <v>4.2300000000000004</v>
      </c>
      <c r="K865" s="4">
        <v>70</v>
      </c>
      <c r="L865" s="3">
        <f t="shared" si="39"/>
        <v>3750.6000000000004</v>
      </c>
      <c r="M865" s="3">
        <f t="shared" si="40"/>
        <v>42.949223225015686</v>
      </c>
      <c r="N865" s="3">
        <v>208.5</v>
      </c>
      <c r="O865" s="5">
        <f t="shared" si="41"/>
        <v>20.599147829743732</v>
      </c>
      <c r="P865" s="2" t="s">
        <v>36</v>
      </c>
    </row>
    <row r="866" spans="1:16" x14ac:dyDescent="0.2">
      <c r="A866" s="2" t="s">
        <v>1256</v>
      </c>
      <c r="B866" s="2" t="s">
        <v>66</v>
      </c>
      <c r="C866" s="2" t="s">
        <v>77</v>
      </c>
      <c r="D866" s="2" t="s">
        <v>19</v>
      </c>
      <c r="E866" s="2" t="s">
        <v>97</v>
      </c>
      <c r="F866" s="2" t="s">
        <v>21</v>
      </c>
      <c r="G866" s="2" t="s">
        <v>98</v>
      </c>
      <c r="H866" s="3">
        <v>4911</v>
      </c>
      <c r="I866" s="4">
        <v>15</v>
      </c>
      <c r="J866" s="5">
        <v>4.7</v>
      </c>
      <c r="K866" s="4">
        <v>90</v>
      </c>
      <c r="L866" s="3">
        <f t="shared" si="39"/>
        <v>491.09999999999991</v>
      </c>
      <c r="M866" s="3">
        <f t="shared" si="40"/>
        <v>34.265465849625777</v>
      </c>
      <c r="N866" s="3">
        <v>66.2</v>
      </c>
      <c r="O866" s="5">
        <f t="shared" si="41"/>
        <v>51.760522431458881</v>
      </c>
      <c r="P866" s="2" t="s">
        <v>36</v>
      </c>
    </row>
    <row r="867" spans="1:16" x14ac:dyDescent="0.2">
      <c r="A867" s="2" t="s">
        <v>1257</v>
      </c>
      <c r="B867" s="2" t="s">
        <v>90</v>
      </c>
      <c r="C867" s="2" t="s">
        <v>91</v>
      </c>
      <c r="D867" s="2" t="s">
        <v>92</v>
      </c>
      <c r="E867" s="2" t="s">
        <v>88</v>
      </c>
      <c r="F867" s="2" t="s">
        <v>21</v>
      </c>
      <c r="G867" s="2" t="s">
        <v>98</v>
      </c>
      <c r="H867" s="3">
        <v>16662</v>
      </c>
      <c r="I867" s="4">
        <v>25</v>
      </c>
      <c r="J867" s="5">
        <v>3.98</v>
      </c>
      <c r="K867" s="4">
        <v>85</v>
      </c>
      <c r="L867" s="3">
        <f t="shared" si="39"/>
        <v>2499.3000000000002</v>
      </c>
      <c r="M867" s="3">
        <f t="shared" si="40"/>
        <v>74.599636941934364</v>
      </c>
      <c r="N867" s="3">
        <v>191.9</v>
      </c>
      <c r="O867" s="5">
        <f t="shared" si="41"/>
        <v>38.874224565885548</v>
      </c>
      <c r="P867" s="2" t="s">
        <v>36</v>
      </c>
    </row>
    <row r="868" spans="1:16" x14ac:dyDescent="0.2">
      <c r="A868" s="2" t="s">
        <v>1258</v>
      </c>
      <c r="B868" s="2" t="s">
        <v>226</v>
      </c>
      <c r="C868" s="2" t="s">
        <v>39</v>
      </c>
      <c r="D868" s="2" t="s">
        <v>40</v>
      </c>
      <c r="E868" s="2" t="s">
        <v>41</v>
      </c>
      <c r="F868" s="2" t="s">
        <v>21</v>
      </c>
      <c r="G868" s="2" t="s">
        <v>98</v>
      </c>
      <c r="H868" s="3">
        <v>13250</v>
      </c>
      <c r="I868" s="4">
        <v>15</v>
      </c>
      <c r="J868" s="5">
        <v>4.42</v>
      </c>
      <c r="K868" s="4">
        <v>75</v>
      </c>
      <c r="L868" s="3">
        <f t="shared" si="39"/>
        <v>3312.5</v>
      </c>
      <c r="M868" s="3">
        <f t="shared" si="40"/>
        <v>75.615533856858491</v>
      </c>
      <c r="N868" s="3">
        <v>172.5</v>
      </c>
      <c r="O868" s="5">
        <f t="shared" si="41"/>
        <v>43.835092090932463</v>
      </c>
      <c r="P868" s="2" t="s">
        <v>69</v>
      </c>
    </row>
    <row r="869" spans="1:16" x14ac:dyDescent="0.2">
      <c r="A869" s="2" t="s">
        <v>1259</v>
      </c>
      <c r="B869" s="2" t="s">
        <v>634</v>
      </c>
      <c r="C869" s="2" t="s">
        <v>142</v>
      </c>
      <c r="D869" s="2" t="s">
        <v>143</v>
      </c>
      <c r="E869" s="2" t="s">
        <v>114</v>
      </c>
      <c r="F869" s="2" t="s">
        <v>34</v>
      </c>
      <c r="G869" s="2" t="s">
        <v>22</v>
      </c>
      <c r="H869" s="3">
        <v>14131</v>
      </c>
      <c r="I869" s="4">
        <v>30</v>
      </c>
      <c r="J869" s="5">
        <v>5.73</v>
      </c>
      <c r="K869" s="4">
        <v>75</v>
      </c>
      <c r="L869" s="3">
        <f t="shared" si="39"/>
        <v>3532.75</v>
      </c>
      <c r="M869" s="3">
        <f t="shared" si="40"/>
        <v>61.713922655104703</v>
      </c>
      <c r="N869" s="3">
        <v>200.1</v>
      </c>
      <c r="O869" s="5">
        <f t="shared" si="41"/>
        <v>30.841540557273717</v>
      </c>
      <c r="P869" s="2" t="s">
        <v>69</v>
      </c>
    </row>
    <row r="870" spans="1:16" x14ac:dyDescent="0.2">
      <c r="A870" s="2" t="s">
        <v>1260</v>
      </c>
      <c r="B870" s="2" t="s">
        <v>1261</v>
      </c>
      <c r="C870" s="2" t="s">
        <v>53</v>
      </c>
      <c r="D870" s="2" t="s">
        <v>19</v>
      </c>
      <c r="E870" s="2" t="s">
        <v>156</v>
      </c>
      <c r="F870" s="2" t="s">
        <v>59</v>
      </c>
      <c r="G870" s="2" t="s">
        <v>44</v>
      </c>
      <c r="H870" s="3">
        <v>13991</v>
      </c>
      <c r="I870" s="4">
        <v>25</v>
      </c>
      <c r="J870" s="5">
        <v>5.45</v>
      </c>
      <c r="K870" s="4">
        <v>80</v>
      </c>
      <c r="L870" s="3">
        <f t="shared" si="39"/>
        <v>2798.1999999999994</v>
      </c>
      <c r="M870" s="3">
        <f t="shared" si="40"/>
        <v>68.399772758835098</v>
      </c>
      <c r="N870" s="3">
        <v>178</v>
      </c>
      <c r="O870" s="5">
        <f t="shared" si="41"/>
        <v>38.426838628559047</v>
      </c>
      <c r="P870" s="2" t="s">
        <v>36</v>
      </c>
    </row>
    <row r="871" spans="1:16" x14ac:dyDescent="0.2">
      <c r="A871" s="2" t="s">
        <v>1262</v>
      </c>
      <c r="B871" s="2" t="s">
        <v>312</v>
      </c>
      <c r="C871" s="2" t="s">
        <v>67</v>
      </c>
      <c r="D871" s="2" t="s">
        <v>67</v>
      </c>
      <c r="E871" s="2" t="s">
        <v>97</v>
      </c>
      <c r="F871" s="2" t="s">
        <v>28</v>
      </c>
      <c r="G871" s="2" t="s">
        <v>35</v>
      </c>
      <c r="H871" s="3">
        <v>7674</v>
      </c>
      <c r="I871" s="4">
        <v>25</v>
      </c>
      <c r="J871" s="5">
        <v>5.33</v>
      </c>
      <c r="K871" s="4">
        <v>80</v>
      </c>
      <c r="L871" s="3">
        <f t="shared" si="39"/>
        <v>1534.7999999999997</v>
      </c>
      <c r="M871" s="3">
        <f t="shared" si="40"/>
        <v>37.079341964398012</v>
      </c>
      <c r="N871" s="3">
        <v>116.4</v>
      </c>
      <c r="O871" s="5">
        <f t="shared" si="41"/>
        <v>31.85510478041066</v>
      </c>
      <c r="P871" s="2" t="s">
        <v>29</v>
      </c>
    </row>
    <row r="872" spans="1:16" x14ac:dyDescent="0.2">
      <c r="A872" s="2" t="s">
        <v>1263</v>
      </c>
      <c r="B872" s="2" t="s">
        <v>891</v>
      </c>
      <c r="C872" s="2" t="s">
        <v>153</v>
      </c>
      <c r="D872" s="2" t="s">
        <v>19</v>
      </c>
      <c r="E872" s="2" t="s">
        <v>156</v>
      </c>
      <c r="F872" s="2" t="s">
        <v>21</v>
      </c>
      <c r="G872" s="2" t="s">
        <v>22</v>
      </c>
      <c r="H872" s="3">
        <v>7816</v>
      </c>
      <c r="I872" s="4">
        <v>30</v>
      </c>
      <c r="J872" s="5">
        <v>4.3899999999999997</v>
      </c>
      <c r="K872" s="4">
        <v>85</v>
      </c>
      <c r="L872" s="3">
        <f t="shared" si="39"/>
        <v>1172.4000000000001</v>
      </c>
      <c r="M872" s="3">
        <f t="shared" si="40"/>
        <v>33.22931983008889</v>
      </c>
      <c r="N872" s="3">
        <v>119.1</v>
      </c>
      <c r="O872" s="5">
        <f t="shared" si="41"/>
        <v>27.900352502173714</v>
      </c>
      <c r="P872" s="2" t="s">
        <v>29</v>
      </c>
    </row>
    <row r="873" spans="1:16" x14ac:dyDescent="0.2">
      <c r="A873" s="2" t="s">
        <v>1264</v>
      </c>
      <c r="B873" s="2" t="s">
        <v>639</v>
      </c>
      <c r="C873" s="2" t="s">
        <v>91</v>
      </c>
      <c r="D873" s="2" t="s">
        <v>92</v>
      </c>
      <c r="E873" s="2" t="s">
        <v>58</v>
      </c>
      <c r="F873" s="2" t="s">
        <v>50</v>
      </c>
      <c r="G873" s="2" t="s">
        <v>35</v>
      </c>
      <c r="H873" s="3">
        <v>14635</v>
      </c>
      <c r="I873" s="4">
        <v>20</v>
      </c>
      <c r="J873" s="5">
        <v>5.31</v>
      </c>
      <c r="K873" s="4">
        <v>85</v>
      </c>
      <c r="L873" s="3">
        <f t="shared" si="39"/>
        <v>2195.2500000000005</v>
      </c>
      <c r="M873" s="3">
        <f t="shared" si="40"/>
        <v>84.242045701995337</v>
      </c>
      <c r="N873" s="3">
        <v>195.1</v>
      </c>
      <c r="O873" s="5">
        <f t="shared" si="41"/>
        <v>43.17890604920315</v>
      </c>
      <c r="P873" s="2" t="s">
        <v>36</v>
      </c>
    </row>
    <row r="874" spans="1:16" x14ac:dyDescent="0.2">
      <c r="A874" s="2" t="s">
        <v>1265</v>
      </c>
      <c r="B874" s="2" t="s">
        <v>360</v>
      </c>
      <c r="C874" s="2" t="s">
        <v>56</v>
      </c>
      <c r="D874" s="2" t="s">
        <v>57</v>
      </c>
      <c r="E874" s="2" t="s">
        <v>41</v>
      </c>
      <c r="F874" s="2" t="s">
        <v>50</v>
      </c>
      <c r="G874" s="2" t="s">
        <v>44</v>
      </c>
      <c r="H874" s="3">
        <v>4034</v>
      </c>
      <c r="I874" s="4">
        <v>20</v>
      </c>
      <c r="J874" s="5">
        <v>4.17</v>
      </c>
      <c r="K874" s="4">
        <v>80</v>
      </c>
      <c r="L874" s="3">
        <f t="shared" si="39"/>
        <v>806.79999999999984</v>
      </c>
      <c r="M874" s="3">
        <f t="shared" si="40"/>
        <v>19.846492130908533</v>
      </c>
      <c r="N874" s="3">
        <v>62.1</v>
      </c>
      <c r="O874" s="5">
        <f t="shared" si="41"/>
        <v>31.958924526422759</v>
      </c>
      <c r="P874" s="2" t="s">
        <v>36</v>
      </c>
    </row>
    <row r="875" spans="1:16" x14ac:dyDescent="0.2">
      <c r="A875" s="2" t="s">
        <v>1266</v>
      </c>
      <c r="B875" s="2" t="s">
        <v>362</v>
      </c>
      <c r="C875" s="2" t="s">
        <v>62</v>
      </c>
      <c r="D875" s="2" t="s">
        <v>63</v>
      </c>
      <c r="E875" s="2" t="s">
        <v>97</v>
      </c>
      <c r="F875" s="2" t="s">
        <v>34</v>
      </c>
      <c r="G875" s="2" t="s">
        <v>98</v>
      </c>
      <c r="H875" s="3">
        <v>12213</v>
      </c>
      <c r="I875" s="4">
        <v>20</v>
      </c>
      <c r="J875" s="5">
        <v>4.3</v>
      </c>
      <c r="K875" s="4">
        <v>70</v>
      </c>
      <c r="L875" s="3">
        <f t="shared" si="39"/>
        <v>3663.9000000000005</v>
      </c>
      <c r="M875" s="3">
        <f t="shared" si="40"/>
        <v>53.167249050235384</v>
      </c>
      <c r="N875" s="3">
        <v>215.1</v>
      </c>
      <c r="O875" s="5">
        <f t="shared" si="41"/>
        <v>24.717456555200087</v>
      </c>
      <c r="P875" s="2" t="s">
        <v>36</v>
      </c>
    </row>
    <row r="876" spans="1:16" x14ac:dyDescent="0.2">
      <c r="A876" s="2" t="s">
        <v>1267</v>
      </c>
      <c r="B876" s="2" t="s">
        <v>435</v>
      </c>
      <c r="C876" s="2" t="s">
        <v>39</v>
      </c>
      <c r="D876" s="2" t="s">
        <v>40</v>
      </c>
      <c r="E876" s="2" t="s">
        <v>58</v>
      </c>
      <c r="F876" s="2" t="s">
        <v>28</v>
      </c>
      <c r="G876" s="2" t="s">
        <v>98</v>
      </c>
      <c r="H876" s="3">
        <v>17694</v>
      </c>
      <c r="I876" s="4">
        <v>20</v>
      </c>
      <c r="J876" s="5">
        <v>3.96</v>
      </c>
      <c r="K876" s="4">
        <v>85</v>
      </c>
      <c r="L876" s="3">
        <f t="shared" si="39"/>
        <v>2654.1000000000004</v>
      </c>
      <c r="M876" s="3">
        <f t="shared" si="40"/>
        <v>90.822147665783618</v>
      </c>
      <c r="N876" s="3">
        <v>250.8</v>
      </c>
      <c r="O876" s="5">
        <f t="shared" si="41"/>
        <v>36.212977538191232</v>
      </c>
      <c r="P876" s="2" t="s">
        <v>36</v>
      </c>
    </row>
    <row r="877" spans="1:16" x14ac:dyDescent="0.2">
      <c r="A877" s="2" t="s">
        <v>1268</v>
      </c>
      <c r="B877" s="2" t="s">
        <v>612</v>
      </c>
      <c r="C877" s="2" t="s">
        <v>146</v>
      </c>
      <c r="D877" s="2" t="s">
        <v>19</v>
      </c>
      <c r="E877" s="2" t="s">
        <v>33</v>
      </c>
      <c r="F877" s="2" t="s">
        <v>21</v>
      </c>
      <c r="G877" s="2" t="s">
        <v>44</v>
      </c>
      <c r="H877" s="3">
        <v>1534</v>
      </c>
      <c r="I877" s="4">
        <v>25</v>
      </c>
      <c r="J877" s="5">
        <v>4.2300000000000004</v>
      </c>
      <c r="K877" s="4">
        <v>85</v>
      </c>
      <c r="L877" s="3">
        <f t="shared" si="39"/>
        <v>230.10000000000002</v>
      </c>
      <c r="M877" s="3">
        <f t="shared" si="40"/>
        <v>7.0491293101371317</v>
      </c>
      <c r="N877" s="3">
        <v>18.5</v>
      </c>
      <c r="O877" s="5">
        <f t="shared" si="41"/>
        <v>38.103401676416922</v>
      </c>
      <c r="P877" s="2" t="s">
        <v>36</v>
      </c>
    </row>
    <row r="878" spans="1:16" x14ac:dyDescent="0.2">
      <c r="A878" s="2" t="s">
        <v>1269</v>
      </c>
      <c r="B878" s="2" t="s">
        <v>455</v>
      </c>
      <c r="C878" s="2" t="s">
        <v>72</v>
      </c>
      <c r="D878" s="2" t="s">
        <v>73</v>
      </c>
      <c r="E878" s="2" t="s">
        <v>78</v>
      </c>
      <c r="F878" s="2" t="s">
        <v>21</v>
      </c>
      <c r="G878" s="2" t="s">
        <v>98</v>
      </c>
      <c r="H878" s="3">
        <v>7294</v>
      </c>
      <c r="I878" s="4">
        <v>25</v>
      </c>
      <c r="J878" s="5">
        <v>5.17</v>
      </c>
      <c r="K878" s="4">
        <v>80</v>
      </c>
      <c r="L878" s="3">
        <f t="shared" si="39"/>
        <v>1458.7999999999997</v>
      </c>
      <c r="M878" s="3">
        <f t="shared" si="40"/>
        <v>34.692440921308254</v>
      </c>
      <c r="N878" s="3">
        <v>93.7</v>
      </c>
      <c r="O878" s="5">
        <f t="shared" si="41"/>
        <v>37.025016991791091</v>
      </c>
      <c r="P878" s="2" t="s">
        <v>36</v>
      </c>
    </row>
    <row r="879" spans="1:16" x14ac:dyDescent="0.2">
      <c r="A879" s="2" t="s">
        <v>1270</v>
      </c>
      <c r="B879" s="2" t="s">
        <v>649</v>
      </c>
      <c r="C879" s="2" t="s">
        <v>77</v>
      </c>
      <c r="D879" s="2" t="s">
        <v>19</v>
      </c>
      <c r="E879" s="2" t="s">
        <v>20</v>
      </c>
      <c r="F879" s="2" t="s">
        <v>28</v>
      </c>
      <c r="G879" s="2" t="s">
        <v>98</v>
      </c>
      <c r="H879" s="3">
        <v>14055</v>
      </c>
      <c r="I879" s="4">
        <v>25</v>
      </c>
      <c r="J879" s="5">
        <v>5.68</v>
      </c>
      <c r="K879" s="4">
        <v>70</v>
      </c>
      <c r="L879" s="3">
        <f t="shared" si="39"/>
        <v>4216.5000000000009</v>
      </c>
      <c r="M879" s="3">
        <f t="shared" si="40"/>
        <v>61.479136150931318</v>
      </c>
      <c r="N879" s="3">
        <v>205.9</v>
      </c>
      <c r="O879" s="5">
        <f t="shared" si="41"/>
        <v>29.858735381705348</v>
      </c>
      <c r="P879" s="2" t="s">
        <v>29</v>
      </c>
    </row>
    <row r="880" spans="1:16" x14ac:dyDescent="0.2">
      <c r="A880" s="2" t="s">
        <v>1271</v>
      </c>
      <c r="B880" s="2" t="s">
        <v>296</v>
      </c>
      <c r="C880" s="2" t="s">
        <v>84</v>
      </c>
      <c r="D880" s="2" t="s">
        <v>85</v>
      </c>
      <c r="E880" s="2" t="s">
        <v>33</v>
      </c>
      <c r="F880" s="2" t="s">
        <v>21</v>
      </c>
      <c r="G880" s="2" t="s">
        <v>98</v>
      </c>
      <c r="H880" s="3">
        <v>4801</v>
      </c>
      <c r="I880" s="4">
        <v>20</v>
      </c>
      <c r="J880" s="5">
        <v>5.0599999999999996</v>
      </c>
      <c r="K880" s="4">
        <v>90</v>
      </c>
      <c r="L880" s="3">
        <f t="shared" si="39"/>
        <v>480.09999999999991</v>
      </c>
      <c r="M880" s="3">
        <f t="shared" si="40"/>
        <v>28.659439328265297</v>
      </c>
      <c r="N880" s="3">
        <v>58.1</v>
      </c>
      <c r="O880" s="5">
        <f t="shared" si="41"/>
        <v>49.327778534019437</v>
      </c>
      <c r="P880" s="2" t="s">
        <v>36</v>
      </c>
    </row>
    <row r="881" spans="1:16" x14ac:dyDescent="0.2">
      <c r="A881" s="2" t="s">
        <v>1272</v>
      </c>
      <c r="B881" s="2" t="s">
        <v>1034</v>
      </c>
      <c r="C881" s="2" t="s">
        <v>77</v>
      </c>
      <c r="D881" s="2" t="s">
        <v>19</v>
      </c>
      <c r="E881" s="2" t="s">
        <v>156</v>
      </c>
      <c r="F881" s="2" t="s">
        <v>21</v>
      </c>
      <c r="G881" s="2" t="s">
        <v>35</v>
      </c>
      <c r="H881" s="3">
        <v>16705</v>
      </c>
      <c r="I881" s="4">
        <v>20</v>
      </c>
      <c r="J881" s="5">
        <v>5.0599999999999996</v>
      </c>
      <c r="K881" s="4">
        <v>90</v>
      </c>
      <c r="L881" s="3">
        <f t="shared" si="39"/>
        <v>1670.4999999999995</v>
      </c>
      <c r="M881" s="3">
        <f t="shared" si="40"/>
        <v>99.720044569604624</v>
      </c>
      <c r="N881" s="3">
        <v>193.9</v>
      </c>
      <c r="O881" s="5">
        <f t="shared" si="41"/>
        <v>51.42859441444282</v>
      </c>
      <c r="P881" s="2" t="s">
        <v>29</v>
      </c>
    </row>
    <row r="882" spans="1:16" x14ac:dyDescent="0.2">
      <c r="A882" s="2" t="s">
        <v>1273</v>
      </c>
      <c r="B882" s="2" t="s">
        <v>305</v>
      </c>
      <c r="C882" s="2" t="s">
        <v>84</v>
      </c>
      <c r="D882" s="2" t="s">
        <v>85</v>
      </c>
      <c r="E882" s="2" t="s">
        <v>81</v>
      </c>
      <c r="F882" s="2" t="s">
        <v>50</v>
      </c>
      <c r="G882" s="2" t="s">
        <v>22</v>
      </c>
      <c r="H882" s="3">
        <v>7610</v>
      </c>
      <c r="I882" s="4">
        <v>25</v>
      </c>
      <c r="J882" s="5">
        <v>5.3</v>
      </c>
      <c r="K882" s="4">
        <v>70</v>
      </c>
      <c r="L882" s="3">
        <f t="shared" si="39"/>
        <v>2283.0000000000005</v>
      </c>
      <c r="M882" s="3">
        <f t="shared" si="40"/>
        <v>32.079257724563114</v>
      </c>
      <c r="N882" s="3">
        <v>88.8</v>
      </c>
      <c r="O882" s="5">
        <f t="shared" si="41"/>
        <v>36.125290230363866</v>
      </c>
      <c r="P882" s="2" t="s">
        <v>36</v>
      </c>
    </row>
    <row r="883" spans="1:16" x14ac:dyDescent="0.2">
      <c r="A883" s="2" t="s">
        <v>1274</v>
      </c>
      <c r="B883" s="2" t="s">
        <v>478</v>
      </c>
      <c r="C883" s="2" t="s">
        <v>72</v>
      </c>
      <c r="D883" s="2" t="s">
        <v>73</v>
      </c>
      <c r="E883" s="2" t="s">
        <v>107</v>
      </c>
      <c r="F883" s="2" t="s">
        <v>50</v>
      </c>
      <c r="G883" s="2" t="s">
        <v>22</v>
      </c>
      <c r="H883" s="3">
        <v>8087</v>
      </c>
      <c r="I883" s="4">
        <v>20</v>
      </c>
      <c r="J883" s="5">
        <v>5.72</v>
      </c>
      <c r="K883" s="4">
        <v>80</v>
      </c>
      <c r="L883" s="3">
        <f t="shared" si="39"/>
        <v>1617.3999999999996</v>
      </c>
      <c r="M883" s="3">
        <f t="shared" si="40"/>
        <v>45.31126292827993</v>
      </c>
      <c r="N883" s="3">
        <v>111.8</v>
      </c>
      <c r="O883" s="5">
        <f t="shared" si="41"/>
        <v>40.528857717602804</v>
      </c>
      <c r="P883" s="2" t="s">
        <v>36</v>
      </c>
    </row>
    <row r="884" spans="1:16" x14ac:dyDescent="0.2">
      <c r="A884" s="2" t="s">
        <v>1275</v>
      </c>
      <c r="B884" s="2" t="s">
        <v>826</v>
      </c>
      <c r="C884" s="2" t="s">
        <v>131</v>
      </c>
      <c r="D884" s="2" t="s">
        <v>27</v>
      </c>
      <c r="E884" s="2" t="s">
        <v>107</v>
      </c>
      <c r="F884" s="2" t="s">
        <v>21</v>
      </c>
      <c r="G884" s="2" t="s">
        <v>98</v>
      </c>
      <c r="H884" s="3">
        <v>1552</v>
      </c>
      <c r="I884" s="4">
        <v>30</v>
      </c>
      <c r="J884" s="5">
        <v>4.5599999999999996</v>
      </c>
      <c r="K884" s="4">
        <v>80</v>
      </c>
      <c r="L884" s="3">
        <f t="shared" si="39"/>
        <v>310.39999999999992</v>
      </c>
      <c r="M884" s="3">
        <f t="shared" si="40"/>
        <v>6.3353459876792719</v>
      </c>
      <c r="N884" s="3">
        <v>18.399999999999999</v>
      </c>
      <c r="O884" s="5">
        <f t="shared" si="41"/>
        <v>34.431228193909092</v>
      </c>
      <c r="P884" s="2" t="s">
        <v>36</v>
      </c>
    </row>
    <row r="885" spans="1:16" x14ac:dyDescent="0.2">
      <c r="A885" s="2" t="s">
        <v>1276</v>
      </c>
      <c r="B885" s="2" t="s">
        <v>166</v>
      </c>
      <c r="C885" s="2" t="s">
        <v>91</v>
      </c>
      <c r="D885" s="2" t="s">
        <v>92</v>
      </c>
      <c r="E885" s="2" t="s">
        <v>41</v>
      </c>
      <c r="F885" s="2" t="s">
        <v>59</v>
      </c>
      <c r="G885" s="2" t="s">
        <v>98</v>
      </c>
      <c r="H885" s="3">
        <v>11460</v>
      </c>
      <c r="I885" s="4">
        <v>15</v>
      </c>
      <c r="J885" s="5">
        <v>5.79</v>
      </c>
      <c r="K885" s="4">
        <v>85</v>
      </c>
      <c r="L885" s="3">
        <f t="shared" si="39"/>
        <v>1719.0000000000002</v>
      </c>
      <c r="M885" s="3">
        <f t="shared" si="40"/>
        <v>81.099037900865937</v>
      </c>
      <c r="N885" s="3">
        <v>154.9</v>
      </c>
      <c r="O885" s="5">
        <f t="shared" si="41"/>
        <v>52.355737831417649</v>
      </c>
      <c r="P885" s="2" t="s">
        <v>29</v>
      </c>
    </row>
    <row r="886" spans="1:16" x14ac:dyDescent="0.2">
      <c r="A886" s="2" t="s">
        <v>1277</v>
      </c>
      <c r="B886" s="2" t="s">
        <v>413</v>
      </c>
      <c r="C886" s="2" t="s">
        <v>91</v>
      </c>
      <c r="D886" s="2" t="s">
        <v>92</v>
      </c>
      <c r="E886" s="2" t="s">
        <v>81</v>
      </c>
      <c r="F886" s="2" t="s">
        <v>59</v>
      </c>
      <c r="G886" s="2" t="s">
        <v>44</v>
      </c>
      <c r="H886" s="3">
        <v>16300</v>
      </c>
      <c r="I886" s="4">
        <v>25</v>
      </c>
      <c r="J886" s="5">
        <v>5.51</v>
      </c>
      <c r="K886" s="4">
        <v>75</v>
      </c>
      <c r="L886" s="3">
        <f t="shared" si="39"/>
        <v>4075</v>
      </c>
      <c r="M886" s="3">
        <f t="shared" si="40"/>
        <v>75.145220389628136</v>
      </c>
      <c r="N886" s="3">
        <v>244.7</v>
      </c>
      <c r="O886" s="5">
        <f t="shared" si="41"/>
        <v>30.709121532336798</v>
      </c>
      <c r="P886" s="2" t="s">
        <v>36</v>
      </c>
    </row>
    <row r="887" spans="1:16" x14ac:dyDescent="0.2">
      <c r="A887" s="2" t="s">
        <v>1278</v>
      </c>
      <c r="B887" s="2" t="s">
        <v>574</v>
      </c>
      <c r="C887" s="2" t="s">
        <v>67</v>
      </c>
      <c r="D887" s="2" t="s">
        <v>67</v>
      </c>
      <c r="E887" s="2" t="s">
        <v>64</v>
      </c>
      <c r="F887" s="2" t="s">
        <v>50</v>
      </c>
      <c r="G887" s="2" t="s">
        <v>22</v>
      </c>
      <c r="H887" s="3">
        <v>8141</v>
      </c>
      <c r="I887" s="4">
        <v>15</v>
      </c>
      <c r="J887" s="5">
        <v>4.75</v>
      </c>
      <c r="K887" s="4">
        <v>90</v>
      </c>
      <c r="L887" s="3">
        <f t="shared" si="39"/>
        <v>814.0999999999998</v>
      </c>
      <c r="M887" s="3">
        <f t="shared" si="40"/>
        <v>56.990966778716761</v>
      </c>
      <c r="N887" s="3">
        <v>142.4</v>
      </c>
      <c r="O887" s="5">
        <f t="shared" si="41"/>
        <v>40.021746333368505</v>
      </c>
      <c r="P887" s="2" t="s">
        <v>69</v>
      </c>
    </row>
    <row r="888" spans="1:16" x14ac:dyDescent="0.2">
      <c r="A888" s="2" t="s">
        <v>1279</v>
      </c>
      <c r="B888" s="2" t="s">
        <v>578</v>
      </c>
      <c r="C888" s="2" t="s">
        <v>100</v>
      </c>
      <c r="D888" s="2" t="s">
        <v>32</v>
      </c>
      <c r="E888" s="2" t="s">
        <v>74</v>
      </c>
      <c r="F888" s="2" t="s">
        <v>21</v>
      </c>
      <c r="G888" s="2" t="s">
        <v>44</v>
      </c>
      <c r="H888" s="3">
        <v>14183</v>
      </c>
      <c r="I888" s="4">
        <v>30</v>
      </c>
      <c r="J888" s="5">
        <v>5.45</v>
      </c>
      <c r="K888" s="4">
        <v>80</v>
      </c>
      <c r="L888" s="3">
        <f t="shared" si="39"/>
        <v>2836.5999999999995</v>
      </c>
      <c r="M888" s="3">
        <f t="shared" si="40"/>
        <v>64.06811778316758</v>
      </c>
      <c r="N888" s="3">
        <v>178.6</v>
      </c>
      <c r="O888" s="5">
        <f t="shared" si="41"/>
        <v>35.872406373554078</v>
      </c>
      <c r="P888" s="2" t="s">
        <v>36</v>
      </c>
    </row>
    <row r="889" spans="1:16" x14ac:dyDescent="0.2">
      <c r="A889" s="2" t="s">
        <v>1280</v>
      </c>
      <c r="B889" s="2" t="s">
        <v>1215</v>
      </c>
      <c r="C889" s="2" t="s">
        <v>119</v>
      </c>
      <c r="D889" s="2" t="s">
        <v>120</v>
      </c>
      <c r="E889" s="2" t="s">
        <v>20</v>
      </c>
      <c r="F889" s="2" t="s">
        <v>50</v>
      </c>
      <c r="G889" s="2" t="s">
        <v>22</v>
      </c>
      <c r="H889" s="3">
        <v>13724</v>
      </c>
      <c r="I889" s="4">
        <v>20</v>
      </c>
      <c r="J889" s="5">
        <v>5.28</v>
      </c>
      <c r="K889" s="4">
        <v>85</v>
      </c>
      <c r="L889" s="3">
        <f t="shared" si="39"/>
        <v>2058.6000000000004</v>
      </c>
      <c r="M889" s="3">
        <f t="shared" si="40"/>
        <v>78.802250829166226</v>
      </c>
      <c r="N889" s="3">
        <v>237.5</v>
      </c>
      <c r="O889" s="5">
        <f t="shared" si="41"/>
        <v>33.179895085964731</v>
      </c>
      <c r="P889" s="2" t="s">
        <v>36</v>
      </c>
    </row>
    <row r="890" spans="1:16" x14ac:dyDescent="0.2">
      <c r="A890" s="2" t="s">
        <v>1281</v>
      </c>
      <c r="B890" s="2" t="s">
        <v>780</v>
      </c>
      <c r="C890" s="2" t="s">
        <v>56</v>
      </c>
      <c r="D890" s="2" t="s">
        <v>57</v>
      </c>
      <c r="E890" s="2" t="s">
        <v>74</v>
      </c>
      <c r="F890" s="2" t="s">
        <v>28</v>
      </c>
      <c r="G890" s="2" t="s">
        <v>98</v>
      </c>
      <c r="H890" s="3">
        <v>13832</v>
      </c>
      <c r="I890" s="4">
        <v>30</v>
      </c>
      <c r="J890" s="5">
        <v>4.3099999999999996</v>
      </c>
      <c r="K890" s="4">
        <v>80</v>
      </c>
      <c r="L890" s="3">
        <f t="shared" si="39"/>
        <v>2766.3999999999992</v>
      </c>
      <c r="M890" s="3">
        <f t="shared" si="40"/>
        <v>54.825489976998156</v>
      </c>
      <c r="N890" s="3">
        <v>150.19999999999999</v>
      </c>
      <c r="O890" s="5">
        <f t="shared" si="41"/>
        <v>36.501657774299709</v>
      </c>
      <c r="P890" s="2" t="s">
        <v>36</v>
      </c>
    </row>
    <row r="891" spans="1:16" x14ac:dyDescent="0.2">
      <c r="A891" s="2" t="s">
        <v>1282</v>
      </c>
      <c r="B891" s="2" t="s">
        <v>358</v>
      </c>
      <c r="C891" s="2" t="s">
        <v>32</v>
      </c>
      <c r="D891" s="2" t="s">
        <v>32</v>
      </c>
      <c r="E891" s="2" t="s">
        <v>107</v>
      </c>
      <c r="F891" s="2" t="s">
        <v>59</v>
      </c>
      <c r="G891" s="2" t="s">
        <v>44</v>
      </c>
      <c r="H891" s="3">
        <v>11161</v>
      </c>
      <c r="I891" s="4">
        <v>25</v>
      </c>
      <c r="J891" s="5">
        <v>5.17</v>
      </c>
      <c r="K891" s="4">
        <v>90</v>
      </c>
      <c r="L891" s="3">
        <f t="shared" si="39"/>
        <v>1116.0999999999997</v>
      </c>
      <c r="M891" s="3">
        <f t="shared" si="40"/>
        <v>59.720677921999126</v>
      </c>
      <c r="N891" s="3">
        <v>144.30000000000001</v>
      </c>
      <c r="O891" s="5">
        <f t="shared" si="41"/>
        <v>41.386471186416578</v>
      </c>
      <c r="P891" s="2" t="s">
        <v>36</v>
      </c>
    </row>
    <row r="892" spans="1:16" x14ac:dyDescent="0.2">
      <c r="A892" s="2" t="s">
        <v>1283</v>
      </c>
      <c r="B892" s="2" t="s">
        <v>325</v>
      </c>
      <c r="C892" s="2" t="s">
        <v>119</v>
      </c>
      <c r="D892" s="2" t="s">
        <v>120</v>
      </c>
      <c r="E892" s="2" t="s">
        <v>78</v>
      </c>
      <c r="F892" s="2" t="s">
        <v>50</v>
      </c>
      <c r="G892" s="2" t="s">
        <v>35</v>
      </c>
      <c r="H892" s="3">
        <v>15926</v>
      </c>
      <c r="I892" s="4">
        <v>30</v>
      </c>
      <c r="J892" s="5">
        <v>4.6399999999999997</v>
      </c>
      <c r="K892" s="4">
        <v>80</v>
      </c>
      <c r="L892" s="3">
        <f t="shared" si="39"/>
        <v>3185.1999999999994</v>
      </c>
      <c r="M892" s="3">
        <f t="shared" si="40"/>
        <v>65.619914913733993</v>
      </c>
      <c r="N892" s="3">
        <v>205.5</v>
      </c>
      <c r="O892" s="5">
        <f t="shared" si="41"/>
        <v>31.93183207480973</v>
      </c>
      <c r="P892" s="2" t="s">
        <v>36</v>
      </c>
    </row>
    <row r="893" spans="1:16" x14ac:dyDescent="0.2">
      <c r="A893" s="2" t="s">
        <v>1284</v>
      </c>
      <c r="B893" s="2" t="s">
        <v>949</v>
      </c>
      <c r="C893" s="2" t="s">
        <v>146</v>
      </c>
      <c r="D893" s="2" t="s">
        <v>19</v>
      </c>
      <c r="E893" s="2" t="s">
        <v>20</v>
      </c>
      <c r="F893" s="2" t="s">
        <v>28</v>
      </c>
      <c r="G893" s="2" t="s">
        <v>44</v>
      </c>
      <c r="H893" s="3">
        <v>3921</v>
      </c>
      <c r="I893" s="4">
        <v>30</v>
      </c>
      <c r="J893" s="5">
        <v>4.2300000000000004</v>
      </c>
      <c r="K893" s="4">
        <v>70</v>
      </c>
      <c r="L893" s="3">
        <f t="shared" si="39"/>
        <v>1176.3000000000002</v>
      </c>
      <c r="M893" s="3">
        <f t="shared" si="40"/>
        <v>13.470157116084346</v>
      </c>
      <c r="N893" s="3">
        <v>43.8</v>
      </c>
      <c r="O893" s="5">
        <f t="shared" si="41"/>
        <v>30.753783370055586</v>
      </c>
      <c r="P893" s="2" t="s">
        <v>36</v>
      </c>
    </row>
    <row r="894" spans="1:16" x14ac:dyDescent="0.2">
      <c r="A894" s="2" t="s">
        <v>1285</v>
      </c>
      <c r="B894" s="2" t="s">
        <v>135</v>
      </c>
      <c r="C894" s="2" t="s">
        <v>67</v>
      </c>
      <c r="D894" s="2" t="s">
        <v>67</v>
      </c>
      <c r="E894" s="2" t="s">
        <v>78</v>
      </c>
      <c r="F894" s="2" t="s">
        <v>28</v>
      </c>
      <c r="G894" s="2" t="s">
        <v>22</v>
      </c>
      <c r="H894" s="3">
        <v>4902</v>
      </c>
      <c r="I894" s="4">
        <v>20</v>
      </c>
      <c r="J894" s="5">
        <v>5.33</v>
      </c>
      <c r="K894" s="4">
        <v>75</v>
      </c>
      <c r="L894" s="3">
        <f t="shared" si="39"/>
        <v>1225.5</v>
      </c>
      <c r="M894" s="3">
        <f t="shared" si="40"/>
        <v>24.938479539381355</v>
      </c>
      <c r="N894" s="3">
        <v>79.400000000000006</v>
      </c>
      <c r="O894" s="5">
        <f t="shared" si="41"/>
        <v>31.4086644072813</v>
      </c>
      <c r="P894" s="2" t="s">
        <v>36</v>
      </c>
    </row>
    <row r="895" spans="1:16" x14ac:dyDescent="0.2">
      <c r="A895" s="2" t="s">
        <v>1286</v>
      </c>
      <c r="B895" s="2" t="s">
        <v>634</v>
      </c>
      <c r="C895" s="2" t="s">
        <v>175</v>
      </c>
      <c r="D895" s="2" t="s">
        <v>176</v>
      </c>
      <c r="E895" s="2" t="s">
        <v>107</v>
      </c>
      <c r="F895" s="2" t="s">
        <v>34</v>
      </c>
      <c r="G895" s="2" t="s">
        <v>44</v>
      </c>
      <c r="H895" s="3">
        <v>6898</v>
      </c>
      <c r="I895" s="4">
        <v>20</v>
      </c>
      <c r="J895" s="5">
        <v>3.91</v>
      </c>
      <c r="K895" s="4">
        <v>70</v>
      </c>
      <c r="L895" s="3">
        <f t="shared" si="39"/>
        <v>2069.4</v>
      </c>
      <c r="M895" s="3">
        <f t="shared" si="40"/>
        <v>29.031883060577041</v>
      </c>
      <c r="N895" s="3">
        <v>80.099999999999994</v>
      </c>
      <c r="O895" s="5">
        <f t="shared" si="41"/>
        <v>36.244548140545625</v>
      </c>
      <c r="P895" s="2" t="s">
        <v>36</v>
      </c>
    </row>
    <row r="896" spans="1:16" x14ac:dyDescent="0.2">
      <c r="A896" s="2" t="s">
        <v>1287</v>
      </c>
      <c r="B896" s="2" t="s">
        <v>375</v>
      </c>
      <c r="C896" s="2" t="s">
        <v>18</v>
      </c>
      <c r="D896" s="2" t="s">
        <v>19</v>
      </c>
      <c r="E896" s="2" t="s">
        <v>49</v>
      </c>
      <c r="F896" s="2" t="s">
        <v>21</v>
      </c>
      <c r="G896" s="2" t="s">
        <v>44</v>
      </c>
      <c r="H896" s="3">
        <v>17826</v>
      </c>
      <c r="I896" s="4">
        <v>20</v>
      </c>
      <c r="J896" s="5">
        <v>5.56</v>
      </c>
      <c r="K896" s="4">
        <v>75</v>
      </c>
      <c r="L896" s="3">
        <f t="shared" si="39"/>
        <v>4456.5</v>
      </c>
      <c r="M896" s="3">
        <f t="shared" si="40"/>
        <v>92.420746509632892</v>
      </c>
      <c r="N896" s="3">
        <v>323.89999999999998</v>
      </c>
      <c r="O896" s="5">
        <f t="shared" si="41"/>
        <v>28.533728468549828</v>
      </c>
      <c r="P896" s="2" t="s">
        <v>36</v>
      </c>
    </row>
    <row r="897" spans="1:16" x14ac:dyDescent="0.2">
      <c r="A897" s="2" t="s">
        <v>1288</v>
      </c>
      <c r="B897" s="2" t="s">
        <v>394</v>
      </c>
      <c r="C897" s="2" t="s">
        <v>175</v>
      </c>
      <c r="D897" s="2" t="s">
        <v>176</v>
      </c>
      <c r="E897" s="2" t="s">
        <v>107</v>
      </c>
      <c r="F897" s="2" t="s">
        <v>50</v>
      </c>
      <c r="G897" s="2" t="s">
        <v>44</v>
      </c>
      <c r="H897" s="3">
        <v>14011</v>
      </c>
      <c r="I897" s="4">
        <v>30</v>
      </c>
      <c r="J897" s="5">
        <v>4.16</v>
      </c>
      <c r="K897" s="4">
        <v>70</v>
      </c>
      <c r="L897" s="3">
        <f t="shared" si="39"/>
        <v>4203.3</v>
      </c>
      <c r="M897" s="3">
        <f t="shared" si="40"/>
        <v>47.732642218106065</v>
      </c>
      <c r="N897" s="3">
        <v>157.6</v>
      </c>
      <c r="O897" s="5">
        <f t="shared" si="41"/>
        <v>30.287209529255115</v>
      </c>
      <c r="P897" s="2" t="s">
        <v>23</v>
      </c>
    </row>
    <row r="898" spans="1:16" x14ac:dyDescent="0.2">
      <c r="A898" s="2" t="s">
        <v>1289</v>
      </c>
      <c r="B898" s="2" t="s">
        <v>272</v>
      </c>
      <c r="C898" s="2" t="s">
        <v>62</v>
      </c>
      <c r="D898" s="2" t="s">
        <v>63</v>
      </c>
      <c r="E898" s="2" t="s">
        <v>81</v>
      </c>
      <c r="F898" s="2" t="s">
        <v>21</v>
      </c>
      <c r="G898" s="2" t="s">
        <v>44</v>
      </c>
      <c r="H898" s="3">
        <v>12451</v>
      </c>
      <c r="I898" s="4">
        <v>30</v>
      </c>
      <c r="J898" s="5">
        <v>4.12</v>
      </c>
      <c r="K898" s="4">
        <v>90</v>
      </c>
      <c r="L898" s="3">
        <f t="shared" ref="L898:L961" si="42">H898*(1-K898/100)</f>
        <v>1245.0999999999997</v>
      </c>
      <c r="M898" s="3">
        <f t="shared" ref="M898:M961" si="43">PMT(J898/100/12, I898*12, -(H898*K898/100))</f>
        <v>54.276816756678365</v>
      </c>
      <c r="N898" s="3">
        <v>177.4</v>
      </c>
      <c r="O898" s="5">
        <f t="shared" ref="O898:O961" si="44">IFERROR(M898/N898*100,0)</f>
        <v>30.595725341983293</v>
      </c>
      <c r="P898" s="2" t="s">
        <v>36</v>
      </c>
    </row>
    <row r="899" spans="1:16" x14ac:dyDescent="0.2">
      <c r="A899" s="2" t="s">
        <v>1290</v>
      </c>
      <c r="B899" s="2" t="s">
        <v>1025</v>
      </c>
      <c r="C899" s="2" t="s">
        <v>72</v>
      </c>
      <c r="D899" s="2" t="s">
        <v>73</v>
      </c>
      <c r="E899" s="2" t="s">
        <v>114</v>
      </c>
      <c r="F899" s="2" t="s">
        <v>59</v>
      </c>
      <c r="G899" s="2" t="s">
        <v>22</v>
      </c>
      <c r="H899" s="3">
        <v>9043</v>
      </c>
      <c r="I899" s="4">
        <v>15</v>
      </c>
      <c r="J899" s="5">
        <v>4.0599999999999996</v>
      </c>
      <c r="K899" s="4">
        <v>80</v>
      </c>
      <c r="L899" s="3">
        <f t="shared" si="42"/>
        <v>1808.5999999999997</v>
      </c>
      <c r="M899" s="3">
        <f t="shared" si="43"/>
        <v>53.729763239042931</v>
      </c>
      <c r="N899" s="3">
        <v>109.4</v>
      </c>
      <c r="O899" s="5">
        <f t="shared" si="44"/>
        <v>49.113129103329918</v>
      </c>
      <c r="P899" s="2" t="s">
        <v>69</v>
      </c>
    </row>
    <row r="900" spans="1:16" x14ac:dyDescent="0.2">
      <c r="A900" s="2" t="s">
        <v>1291</v>
      </c>
      <c r="B900" s="2" t="s">
        <v>166</v>
      </c>
      <c r="C900" s="2" t="s">
        <v>47</v>
      </c>
      <c r="D900" s="2" t="s">
        <v>48</v>
      </c>
      <c r="E900" s="2" t="s">
        <v>177</v>
      </c>
      <c r="F900" s="2" t="s">
        <v>59</v>
      </c>
      <c r="G900" s="2" t="s">
        <v>44</v>
      </c>
      <c r="H900" s="3">
        <v>10774</v>
      </c>
      <c r="I900" s="4">
        <v>30</v>
      </c>
      <c r="J900" s="5">
        <v>4.49</v>
      </c>
      <c r="K900" s="4">
        <v>75</v>
      </c>
      <c r="L900" s="3">
        <f t="shared" si="42"/>
        <v>2693.5</v>
      </c>
      <c r="M900" s="3">
        <f t="shared" si="43"/>
        <v>40.894707956734152</v>
      </c>
      <c r="N900" s="3">
        <v>155.30000000000001</v>
      </c>
      <c r="O900" s="5">
        <f t="shared" si="44"/>
        <v>26.33271600562405</v>
      </c>
      <c r="P900" s="2" t="s">
        <v>36</v>
      </c>
    </row>
    <row r="901" spans="1:16" x14ac:dyDescent="0.2">
      <c r="A901" s="2" t="s">
        <v>1292</v>
      </c>
      <c r="B901" s="2" t="s">
        <v>360</v>
      </c>
      <c r="C901" s="2" t="s">
        <v>146</v>
      </c>
      <c r="D901" s="2" t="s">
        <v>19</v>
      </c>
      <c r="E901" s="2" t="s">
        <v>20</v>
      </c>
      <c r="F901" s="2" t="s">
        <v>50</v>
      </c>
      <c r="G901" s="2" t="s">
        <v>44</v>
      </c>
      <c r="H901" s="3">
        <v>3147</v>
      </c>
      <c r="I901" s="4">
        <v>20</v>
      </c>
      <c r="J901" s="5">
        <v>5.49</v>
      </c>
      <c r="K901" s="4">
        <v>75</v>
      </c>
      <c r="L901" s="3">
        <f t="shared" si="42"/>
        <v>786.75</v>
      </c>
      <c r="M901" s="3">
        <f t="shared" si="43"/>
        <v>16.222532428408403</v>
      </c>
      <c r="N901" s="3">
        <v>45.3</v>
      </c>
      <c r="O901" s="5">
        <f t="shared" si="44"/>
        <v>35.81132986403621</v>
      </c>
      <c r="P901" s="2" t="s">
        <v>36</v>
      </c>
    </row>
    <row r="902" spans="1:16" x14ac:dyDescent="0.2">
      <c r="A902" s="2" t="s">
        <v>1293</v>
      </c>
      <c r="B902" s="2" t="s">
        <v>823</v>
      </c>
      <c r="C902" s="2" t="s">
        <v>77</v>
      </c>
      <c r="D902" s="2" t="s">
        <v>19</v>
      </c>
      <c r="E902" s="2" t="s">
        <v>156</v>
      </c>
      <c r="F902" s="2" t="s">
        <v>34</v>
      </c>
      <c r="G902" s="2" t="s">
        <v>44</v>
      </c>
      <c r="H902" s="3">
        <v>10173</v>
      </c>
      <c r="I902" s="4">
        <v>30</v>
      </c>
      <c r="J902" s="5">
        <v>5.78</v>
      </c>
      <c r="K902" s="4">
        <v>70</v>
      </c>
      <c r="L902" s="3">
        <f t="shared" si="42"/>
        <v>3051.9000000000005</v>
      </c>
      <c r="M902" s="3">
        <f t="shared" si="43"/>
        <v>41.692618953132893</v>
      </c>
      <c r="N902" s="3">
        <v>174.4</v>
      </c>
      <c r="O902" s="5">
        <f t="shared" si="44"/>
        <v>23.90631820707161</v>
      </c>
      <c r="P902" s="2" t="s">
        <v>69</v>
      </c>
    </row>
    <row r="903" spans="1:16" x14ac:dyDescent="0.2">
      <c r="A903" s="2" t="s">
        <v>1294</v>
      </c>
      <c r="B903" s="2" t="s">
        <v>330</v>
      </c>
      <c r="C903" s="2" t="s">
        <v>18</v>
      </c>
      <c r="D903" s="2" t="s">
        <v>19</v>
      </c>
      <c r="E903" s="2" t="s">
        <v>81</v>
      </c>
      <c r="F903" s="2" t="s">
        <v>28</v>
      </c>
      <c r="G903" s="2" t="s">
        <v>22</v>
      </c>
      <c r="H903" s="3">
        <v>17062</v>
      </c>
      <c r="I903" s="4">
        <v>20</v>
      </c>
      <c r="J903" s="5">
        <v>5.0999999999999996</v>
      </c>
      <c r="K903" s="4">
        <v>75</v>
      </c>
      <c r="L903" s="3">
        <f t="shared" si="42"/>
        <v>4265.5</v>
      </c>
      <c r="M903" s="3">
        <f t="shared" si="43"/>
        <v>85.15974016215803</v>
      </c>
      <c r="N903" s="3">
        <v>193.6</v>
      </c>
      <c r="O903" s="5">
        <f t="shared" si="44"/>
        <v>43.98746909202378</v>
      </c>
      <c r="P903" s="2" t="s">
        <v>36</v>
      </c>
    </row>
    <row r="904" spans="1:16" x14ac:dyDescent="0.2">
      <c r="A904" s="2" t="s">
        <v>1295</v>
      </c>
      <c r="B904" s="2" t="s">
        <v>230</v>
      </c>
      <c r="C904" s="2" t="s">
        <v>67</v>
      </c>
      <c r="D904" s="2" t="s">
        <v>67</v>
      </c>
      <c r="E904" s="2" t="s">
        <v>20</v>
      </c>
      <c r="F904" s="2" t="s">
        <v>50</v>
      </c>
      <c r="G904" s="2" t="s">
        <v>98</v>
      </c>
      <c r="H904" s="3">
        <v>3983</v>
      </c>
      <c r="I904" s="4">
        <v>20</v>
      </c>
      <c r="J904" s="5">
        <v>5.59</v>
      </c>
      <c r="K904" s="4">
        <v>70</v>
      </c>
      <c r="L904" s="3">
        <f t="shared" si="42"/>
        <v>1194.9000000000001</v>
      </c>
      <c r="M904" s="3">
        <f t="shared" si="43"/>
        <v>19.32098641057587</v>
      </c>
      <c r="N904" s="3">
        <v>49.3</v>
      </c>
      <c r="O904" s="5">
        <f t="shared" si="44"/>
        <v>39.190641806441931</v>
      </c>
      <c r="P904" s="2" t="s">
        <v>36</v>
      </c>
    </row>
    <row r="905" spans="1:16" x14ac:dyDescent="0.2">
      <c r="A905" s="2" t="s">
        <v>1296</v>
      </c>
      <c r="B905" s="2" t="s">
        <v>760</v>
      </c>
      <c r="C905" s="2" t="s">
        <v>53</v>
      </c>
      <c r="D905" s="2" t="s">
        <v>19</v>
      </c>
      <c r="E905" s="2" t="s">
        <v>88</v>
      </c>
      <c r="F905" s="2" t="s">
        <v>28</v>
      </c>
      <c r="G905" s="2" t="s">
        <v>44</v>
      </c>
      <c r="H905" s="3">
        <v>16216</v>
      </c>
      <c r="I905" s="4">
        <v>30</v>
      </c>
      <c r="J905" s="5">
        <v>4.83</v>
      </c>
      <c r="K905" s="4">
        <v>80</v>
      </c>
      <c r="L905" s="3">
        <f t="shared" si="42"/>
        <v>3243.1999999999994</v>
      </c>
      <c r="M905" s="3">
        <f t="shared" si="43"/>
        <v>68.299226746132717</v>
      </c>
      <c r="N905" s="3">
        <v>238.8</v>
      </c>
      <c r="O905" s="5">
        <f t="shared" si="44"/>
        <v>28.601016225348708</v>
      </c>
      <c r="P905" s="2" t="s">
        <v>36</v>
      </c>
    </row>
    <row r="906" spans="1:16" x14ac:dyDescent="0.2">
      <c r="A906" s="2" t="s">
        <v>1297</v>
      </c>
      <c r="B906" s="2" t="s">
        <v>216</v>
      </c>
      <c r="C906" s="2" t="s">
        <v>32</v>
      </c>
      <c r="D906" s="2" t="s">
        <v>32</v>
      </c>
      <c r="E906" s="2" t="s">
        <v>81</v>
      </c>
      <c r="F906" s="2" t="s">
        <v>59</v>
      </c>
      <c r="G906" s="2" t="s">
        <v>98</v>
      </c>
      <c r="H906" s="3">
        <v>14916</v>
      </c>
      <c r="I906" s="4">
        <v>20</v>
      </c>
      <c r="J906" s="5">
        <v>4.97</v>
      </c>
      <c r="K906" s="4">
        <v>80</v>
      </c>
      <c r="L906" s="3">
        <f t="shared" si="42"/>
        <v>2983.1999999999994</v>
      </c>
      <c r="M906" s="3">
        <f t="shared" si="43"/>
        <v>78.553574835551672</v>
      </c>
      <c r="N906" s="3">
        <v>199.6</v>
      </c>
      <c r="O906" s="5">
        <f t="shared" si="44"/>
        <v>39.355498414605044</v>
      </c>
      <c r="P906" s="2" t="s">
        <v>69</v>
      </c>
    </row>
    <row r="907" spans="1:16" x14ac:dyDescent="0.2">
      <c r="A907" s="2" t="s">
        <v>1298</v>
      </c>
      <c r="B907" s="2" t="s">
        <v>880</v>
      </c>
      <c r="C907" s="2" t="s">
        <v>119</v>
      </c>
      <c r="D907" s="2" t="s">
        <v>120</v>
      </c>
      <c r="E907" s="2" t="s">
        <v>33</v>
      </c>
      <c r="F907" s="2" t="s">
        <v>59</v>
      </c>
      <c r="G907" s="2" t="s">
        <v>98</v>
      </c>
      <c r="H907" s="3">
        <v>10879</v>
      </c>
      <c r="I907" s="4">
        <v>25</v>
      </c>
      <c r="J907" s="5">
        <v>4.58</v>
      </c>
      <c r="K907" s="4">
        <v>80</v>
      </c>
      <c r="L907" s="3">
        <f t="shared" si="42"/>
        <v>2175.7999999999997</v>
      </c>
      <c r="M907" s="3">
        <f t="shared" si="43"/>
        <v>48.77125685280501</v>
      </c>
      <c r="N907" s="3">
        <v>148.9</v>
      </c>
      <c r="O907" s="5">
        <f t="shared" si="44"/>
        <v>32.754369948156487</v>
      </c>
      <c r="P907" s="2" t="s">
        <v>36</v>
      </c>
    </row>
    <row r="908" spans="1:16" x14ac:dyDescent="0.2">
      <c r="A908" s="2" t="s">
        <v>1299</v>
      </c>
      <c r="B908" s="2" t="s">
        <v>336</v>
      </c>
      <c r="C908" s="2" t="s">
        <v>53</v>
      </c>
      <c r="D908" s="2" t="s">
        <v>19</v>
      </c>
      <c r="E908" s="2" t="s">
        <v>107</v>
      </c>
      <c r="F908" s="2" t="s">
        <v>28</v>
      </c>
      <c r="G908" s="2" t="s">
        <v>22</v>
      </c>
      <c r="H908" s="3">
        <v>15229</v>
      </c>
      <c r="I908" s="4">
        <v>20</v>
      </c>
      <c r="J908" s="5">
        <v>4.84</v>
      </c>
      <c r="K908" s="4">
        <v>90</v>
      </c>
      <c r="L908" s="3">
        <f t="shared" si="42"/>
        <v>1522.8999999999996</v>
      </c>
      <c r="M908" s="3">
        <f t="shared" si="43"/>
        <v>89.247144304612675</v>
      </c>
      <c r="N908" s="3">
        <v>235.1</v>
      </c>
      <c r="O908" s="5">
        <f t="shared" si="44"/>
        <v>37.961354446879064</v>
      </c>
      <c r="P908" s="2" t="s">
        <v>23</v>
      </c>
    </row>
    <row r="909" spans="1:16" x14ac:dyDescent="0.2">
      <c r="A909" s="2" t="s">
        <v>1300</v>
      </c>
      <c r="B909" s="2" t="s">
        <v>600</v>
      </c>
      <c r="C909" s="2" t="s">
        <v>32</v>
      </c>
      <c r="D909" s="2" t="s">
        <v>32</v>
      </c>
      <c r="E909" s="2" t="s">
        <v>41</v>
      </c>
      <c r="F909" s="2" t="s">
        <v>59</v>
      </c>
      <c r="G909" s="2" t="s">
        <v>44</v>
      </c>
      <c r="H909" s="3">
        <v>14648</v>
      </c>
      <c r="I909" s="4">
        <v>25</v>
      </c>
      <c r="J909" s="5">
        <v>4.55</v>
      </c>
      <c r="K909" s="4">
        <v>80</v>
      </c>
      <c r="L909" s="3">
        <f t="shared" si="42"/>
        <v>2929.5999999999995</v>
      </c>
      <c r="M909" s="3">
        <f t="shared" si="43"/>
        <v>65.467689106096671</v>
      </c>
      <c r="N909" s="3">
        <v>258.39999999999998</v>
      </c>
      <c r="O909" s="5">
        <f t="shared" si="44"/>
        <v>25.335792997715433</v>
      </c>
      <c r="P909" s="2" t="s">
        <v>36</v>
      </c>
    </row>
    <row r="910" spans="1:16" x14ac:dyDescent="0.2">
      <c r="A910" s="2" t="s">
        <v>1301</v>
      </c>
      <c r="B910" s="2" t="s">
        <v>317</v>
      </c>
      <c r="C910" s="2" t="s">
        <v>175</v>
      </c>
      <c r="D910" s="2" t="s">
        <v>176</v>
      </c>
      <c r="E910" s="2" t="s">
        <v>107</v>
      </c>
      <c r="F910" s="2" t="s">
        <v>28</v>
      </c>
      <c r="G910" s="2" t="s">
        <v>44</v>
      </c>
      <c r="H910" s="3">
        <v>16881</v>
      </c>
      <c r="I910" s="4">
        <v>30</v>
      </c>
      <c r="J910" s="5">
        <v>4.87</v>
      </c>
      <c r="K910" s="4">
        <v>85</v>
      </c>
      <c r="L910" s="3">
        <f t="shared" si="42"/>
        <v>2532.1500000000005</v>
      </c>
      <c r="M910" s="3">
        <f t="shared" si="43"/>
        <v>75.891753010058878</v>
      </c>
      <c r="N910" s="3">
        <v>201.5</v>
      </c>
      <c r="O910" s="5">
        <f t="shared" si="44"/>
        <v>37.663400997547832</v>
      </c>
      <c r="P910" s="2" t="s">
        <v>36</v>
      </c>
    </row>
    <row r="911" spans="1:16" x14ac:dyDescent="0.2">
      <c r="A911" s="2" t="s">
        <v>1302</v>
      </c>
      <c r="B911" s="2" t="s">
        <v>474</v>
      </c>
      <c r="C911" s="2" t="s">
        <v>146</v>
      </c>
      <c r="D911" s="2" t="s">
        <v>19</v>
      </c>
      <c r="E911" s="2" t="s">
        <v>114</v>
      </c>
      <c r="F911" s="2" t="s">
        <v>34</v>
      </c>
      <c r="G911" s="2" t="s">
        <v>22</v>
      </c>
      <c r="H911" s="3">
        <v>14308</v>
      </c>
      <c r="I911" s="4">
        <v>15</v>
      </c>
      <c r="J911" s="5">
        <v>4.29</v>
      </c>
      <c r="K911" s="4">
        <v>80</v>
      </c>
      <c r="L911" s="3">
        <f t="shared" si="42"/>
        <v>2861.5999999999995</v>
      </c>
      <c r="M911" s="3">
        <f t="shared" si="43"/>
        <v>86.34070441353316</v>
      </c>
      <c r="N911" s="3">
        <v>176</v>
      </c>
      <c r="O911" s="5">
        <f t="shared" si="44"/>
        <v>49.057218416780209</v>
      </c>
      <c r="P911" s="2" t="s">
        <v>29</v>
      </c>
    </row>
    <row r="912" spans="1:16" x14ac:dyDescent="0.2">
      <c r="A912" s="2" t="s">
        <v>1303</v>
      </c>
      <c r="B912" s="2" t="s">
        <v>338</v>
      </c>
      <c r="C912" s="2" t="s">
        <v>56</v>
      </c>
      <c r="D912" s="2" t="s">
        <v>57</v>
      </c>
      <c r="E912" s="2" t="s">
        <v>177</v>
      </c>
      <c r="F912" s="2" t="s">
        <v>34</v>
      </c>
      <c r="G912" s="2" t="s">
        <v>35</v>
      </c>
      <c r="H912" s="3">
        <v>9470</v>
      </c>
      <c r="I912" s="4">
        <v>25</v>
      </c>
      <c r="J912" s="5">
        <v>5.8</v>
      </c>
      <c r="K912" s="4">
        <v>80</v>
      </c>
      <c r="L912" s="3">
        <f t="shared" si="42"/>
        <v>1893.9999999999995</v>
      </c>
      <c r="M912" s="3">
        <f t="shared" si="43"/>
        <v>47.890275906087517</v>
      </c>
      <c r="N912" s="3">
        <v>132</v>
      </c>
      <c r="O912" s="5">
        <f t="shared" si="44"/>
        <v>36.280512050066299</v>
      </c>
      <c r="P912" s="2" t="s">
        <v>36</v>
      </c>
    </row>
    <row r="913" spans="1:16" x14ac:dyDescent="0.2">
      <c r="A913" s="2" t="s">
        <v>1304</v>
      </c>
      <c r="B913" s="2" t="s">
        <v>267</v>
      </c>
      <c r="C913" s="2" t="s">
        <v>56</v>
      </c>
      <c r="D913" s="2" t="s">
        <v>57</v>
      </c>
      <c r="E913" s="2" t="s">
        <v>41</v>
      </c>
      <c r="F913" s="2" t="s">
        <v>28</v>
      </c>
      <c r="G913" s="2" t="s">
        <v>44</v>
      </c>
      <c r="H913" s="3">
        <v>3106</v>
      </c>
      <c r="I913" s="4">
        <v>20</v>
      </c>
      <c r="J913" s="5">
        <v>5.04</v>
      </c>
      <c r="K913" s="4">
        <v>85</v>
      </c>
      <c r="L913" s="3">
        <f t="shared" si="42"/>
        <v>465.90000000000009</v>
      </c>
      <c r="M913" s="3">
        <f t="shared" si="43"/>
        <v>17.481882163176508</v>
      </c>
      <c r="N913" s="3">
        <v>44.8</v>
      </c>
      <c r="O913" s="5">
        <f t="shared" si="44"/>
        <v>39.022058399947561</v>
      </c>
      <c r="P913" s="2" t="s">
        <v>36</v>
      </c>
    </row>
    <row r="914" spans="1:16" x14ac:dyDescent="0.2">
      <c r="A914" s="2" t="s">
        <v>1305</v>
      </c>
      <c r="B914" s="2" t="s">
        <v>1109</v>
      </c>
      <c r="C914" s="2" t="s">
        <v>26</v>
      </c>
      <c r="D914" s="2" t="s">
        <v>27</v>
      </c>
      <c r="E914" s="2" t="s">
        <v>81</v>
      </c>
      <c r="F914" s="2" t="s">
        <v>34</v>
      </c>
      <c r="G914" s="2" t="s">
        <v>35</v>
      </c>
      <c r="H914" s="3">
        <v>4597</v>
      </c>
      <c r="I914" s="4">
        <v>20</v>
      </c>
      <c r="J914" s="5">
        <v>5.53</v>
      </c>
      <c r="K914" s="4">
        <v>80</v>
      </c>
      <c r="L914" s="3">
        <f t="shared" si="42"/>
        <v>919.39999999999975</v>
      </c>
      <c r="M914" s="3">
        <f t="shared" si="43"/>
        <v>25.360097183959681</v>
      </c>
      <c r="N914" s="3">
        <v>61.2</v>
      </c>
      <c r="O914" s="5">
        <f t="shared" si="44"/>
        <v>41.43806729405177</v>
      </c>
      <c r="P914" s="2" t="s">
        <v>36</v>
      </c>
    </row>
    <row r="915" spans="1:16" x14ac:dyDescent="0.2">
      <c r="A915" s="2" t="s">
        <v>1306</v>
      </c>
      <c r="B915" s="2" t="s">
        <v>269</v>
      </c>
      <c r="C915" s="2" t="s">
        <v>72</v>
      </c>
      <c r="D915" s="2" t="s">
        <v>73</v>
      </c>
      <c r="E915" s="2" t="s">
        <v>88</v>
      </c>
      <c r="F915" s="2" t="s">
        <v>21</v>
      </c>
      <c r="G915" s="2" t="s">
        <v>98</v>
      </c>
      <c r="H915" s="3">
        <v>7360</v>
      </c>
      <c r="I915" s="4">
        <v>25</v>
      </c>
      <c r="J915" s="5">
        <v>4.42</v>
      </c>
      <c r="K915" s="4">
        <v>80</v>
      </c>
      <c r="L915" s="3">
        <f t="shared" si="42"/>
        <v>1471.9999999999998</v>
      </c>
      <c r="M915" s="3">
        <f t="shared" si="43"/>
        <v>32.460627799245472</v>
      </c>
      <c r="N915" s="3">
        <v>77.5</v>
      </c>
      <c r="O915" s="5">
        <f t="shared" si="44"/>
        <v>41.88468103128448</v>
      </c>
      <c r="P915" s="2" t="s">
        <v>36</v>
      </c>
    </row>
    <row r="916" spans="1:16" x14ac:dyDescent="0.2">
      <c r="A916" s="2" t="s">
        <v>1307</v>
      </c>
      <c r="B916" s="2" t="s">
        <v>1055</v>
      </c>
      <c r="C916" s="2" t="s">
        <v>84</v>
      </c>
      <c r="D916" s="2" t="s">
        <v>85</v>
      </c>
      <c r="E916" s="2" t="s">
        <v>97</v>
      </c>
      <c r="F916" s="2" t="s">
        <v>34</v>
      </c>
      <c r="G916" s="2" t="s">
        <v>35</v>
      </c>
      <c r="H916" s="3">
        <v>10495</v>
      </c>
      <c r="I916" s="4">
        <v>25</v>
      </c>
      <c r="J916" s="5">
        <v>4.75</v>
      </c>
      <c r="K916" s="4">
        <v>85</v>
      </c>
      <c r="L916" s="3">
        <f t="shared" si="42"/>
        <v>1574.2500000000002</v>
      </c>
      <c r="M916" s="3">
        <f t="shared" si="43"/>
        <v>50.858744515403501</v>
      </c>
      <c r="N916" s="3">
        <v>138.4</v>
      </c>
      <c r="O916" s="5">
        <f t="shared" si="44"/>
        <v>36.747647771245298</v>
      </c>
      <c r="P916" s="2" t="s">
        <v>36</v>
      </c>
    </row>
    <row r="917" spans="1:16" x14ac:dyDescent="0.2">
      <c r="A917" s="2" t="s">
        <v>1308</v>
      </c>
      <c r="B917" s="2" t="s">
        <v>1022</v>
      </c>
      <c r="C917" s="2" t="s">
        <v>62</v>
      </c>
      <c r="D917" s="2" t="s">
        <v>63</v>
      </c>
      <c r="E917" s="2" t="s">
        <v>41</v>
      </c>
      <c r="F917" s="2" t="s">
        <v>21</v>
      </c>
      <c r="G917" s="2" t="s">
        <v>35</v>
      </c>
      <c r="H917" s="3">
        <v>3414</v>
      </c>
      <c r="I917" s="4">
        <v>15</v>
      </c>
      <c r="J917" s="5">
        <v>4.4800000000000004</v>
      </c>
      <c r="K917" s="4">
        <v>75</v>
      </c>
      <c r="L917" s="3">
        <f t="shared" si="42"/>
        <v>853.5</v>
      </c>
      <c r="M917" s="3">
        <f t="shared" si="43"/>
        <v>19.561491175909595</v>
      </c>
      <c r="N917" s="3">
        <v>38.799999999999997</v>
      </c>
      <c r="O917" s="5">
        <f t="shared" si="44"/>
        <v>50.416214370901024</v>
      </c>
      <c r="P917" s="2" t="s">
        <v>23</v>
      </c>
    </row>
    <row r="918" spans="1:16" x14ac:dyDescent="0.2">
      <c r="A918" s="2" t="s">
        <v>1309</v>
      </c>
      <c r="B918" s="2" t="s">
        <v>478</v>
      </c>
      <c r="C918" s="2" t="s">
        <v>26</v>
      </c>
      <c r="D918" s="2" t="s">
        <v>27</v>
      </c>
      <c r="E918" s="2" t="s">
        <v>41</v>
      </c>
      <c r="F918" s="2" t="s">
        <v>28</v>
      </c>
      <c r="G918" s="2" t="s">
        <v>98</v>
      </c>
      <c r="H918" s="3">
        <v>5615</v>
      </c>
      <c r="I918" s="4">
        <v>25</v>
      </c>
      <c r="J918" s="5">
        <v>4.1500000000000004</v>
      </c>
      <c r="K918" s="4">
        <v>85</v>
      </c>
      <c r="L918" s="3">
        <f t="shared" si="42"/>
        <v>842.25000000000011</v>
      </c>
      <c r="M918" s="3">
        <f t="shared" si="43"/>
        <v>25.589303403466502</v>
      </c>
      <c r="N918" s="3">
        <v>92.2</v>
      </c>
      <c r="O918" s="5">
        <f t="shared" si="44"/>
        <v>27.754125166449565</v>
      </c>
      <c r="P918" s="2" t="s">
        <v>69</v>
      </c>
    </row>
    <row r="919" spans="1:16" x14ac:dyDescent="0.2">
      <c r="A919" s="2" t="s">
        <v>1310</v>
      </c>
      <c r="B919" s="2" t="s">
        <v>566</v>
      </c>
      <c r="C919" s="2" t="s">
        <v>77</v>
      </c>
      <c r="D919" s="2" t="s">
        <v>19</v>
      </c>
      <c r="E919" s="2" t="s">
        <v>20</v>
      </c>
      <c r="F919" s="2" t="s">
        <v>59</v>
      </c>
      <c r="G919" s="2" t="s">
        <v>98</v>
      </c>
      <c r="H919" s="3">
        <v>2945</v>
      </c>
      <c r="I919" s="4">
        <v>15</v>
      </c>
      <c r="J919" s="5">
        <v>5.09</v>
      </c>
      <c r="K919" s="4">
        <v>80</v>
      </c>
      <c r="L919" s="3">
        <f t="shared" si="42"/>
        <v>588.99999999999989</v>
      </c>
      <c r="M919" s="3">
        <f t="shared" si="43"/>
        <v>18.741740583511611</v>
      </c>
      <c r="N919" s="3">
        <v>35.4</v>
      </c>
      <c r="O919" s="5">
        <f t="shared" si="44"/>
        <v>52.942770009919805</v>
      </c>
      <c r="P919" s="2" t="s">
        <v>36</v>
      </c>
    </row>
    <row r="920" spans="1:16" x14ac:dyDescent="0.2">
      <c r="A920" s="2" t="s">
        <v>1311</v>
      </c>
      <c r="B920" s="2" t="s">
        <v>724</v>
      </c>
      <c r="C920" s="2" t="s">
        <v>26</v>
      </c>
      <c r="D920" s="2" t="s">
        <v>27</v>
      </c>
      <c r="E920" s="2" t="s">
        <v>33</v>
      </c>
      <c r="F920" s="2" t="s">
        <v>21</v>
      </c>
      <c r="G920" s="2" t="s">
        <v>44</v>
      </c>
      <c r="H920" s="3">
        <v>15140</v>
      </c>
      <c r="I920" s="4">
        <v>15</v>
      </c>
      <c r="J920" s="5">
        <v>4.33</v>
      </c>
      <c r="K920" s="4">
        <v>90</v>
      </c>
      <c r="L920" s="3">
        <f t="shared" si="42"/>
        <v>1513.9999999999998</v>
      </c>
      <c r="M920" s="3">
        <f t="shared" si="43"/>
        <v>103.0580256259897</v>
      </c>
      <c r="N920" s="3">
        <v>268.7</v>
      </c>
      <c r="O920" s="5">
        <f t="shared" si="44"/>
        <v>38.354308011161038</v>
      </c>
      <c r="P920" s="2" t="s">
        <v>36</v>
      </c>
    </row>
    <row r="921" spans="1:16" x14ac:dyDescent="0.2">
      <c r="A921" s="2" t="s">
        <v>1312</v>
      </c>
      <c r="B921" s="2" t="s">
        <v>181</v>
      </c>
      <c r="C921" s="2" t="s">
        <v>146</v>
      </c>
      <c r="D921" s="2" t="s">
        <v>19</v>
      </c>
      <c r="E921" s="2" t="s">
        <v>68</v>
      </c>
      <c r="F921" s="2" t="s">
        <v>21</v>
      </c>
      <c r="G921" s="2" t="s">
        <v>98</v>
      </c>
      <c r="H921" s="3">
        <v>2949</v>
      </c>
      <c r="I921" s="4">
        <v>25</v>
      </c>
      <c r="J921" s="5">
        <v>5.75</v>
      </c>
      <c r="K921" s="4">
        <v>90</v>
      </c>
      <c r="L921" s="3">
        <f t="shared" si="42"/>
        <v>294.89999999999992</v>
      </c>
      <c r="M921" s="3">
        <f t="shared" si="43"/>
        <v>16.697113026699768</v>
      </c>
      <c r="N921" s="3">
        <v>36.9</v>
      </c>
      <c r="O921" s="5">
        <f t="shared" si="44"/>
        <v>45.249628798644359</v>
      </c>
      <c r="P921" s="2" t="s">
        <v>36</v>
      </c>
    </row>
    <row r="922" spans="1:16" x14ac:dyDescent="0.2">
      <c r="A922" s="2" t="s">
        <v>1313</v>
      </c>
      <c r="B922" s="2" t="s">
        <v>187</v>
      </c>
      <c r="C922" s="2" t="s">
        <v>53</v>
      </c>
      <c r="D922" s="2" t="s">
        <v>19</v>
      </c>
      <c r="E922" s="2" t="s">
        <v>88</v>
      </c>
      <c r="F922" s="2" t="s">
        <v>59</v>
      </c>
      <c r="G922" s="2" t="s">
        <v>44</v>
      </c>
      <c r="H922" s="3">
        <v>16691</v>
      </c>
      <c r="I922" s="4">
        <v>25</v>
      </c>
      <c r="J922" s="5">
        <v>5.63</v>
      </c>
      <c r="K922" s="4">
        <v>85</v>
      </c>
      <c r="L922" s="3">
        <f t="shared" si="42"/>
        <v>2503.6500000000005</v>
      </c>
      <c r="M922" s="3">
        <f t="shared" si="43"/>
        <v>88.227605596249163</v>
      </c>
      <c r="N922" s="3">
        <v>258.89999999999998</v>
      </c>
      <c r="O922" s="5">
        <f t="shared" si="44"/>
        <v>34.077870064213663</v>
      </c>
      <c r="P922" s="2" t="s">
        <v>23</v>
      </c>
    </row>
    <row r="923" spans="1:16" x14ac:dyDescent="0.2">
      <c r="A923" s="2" t="s">
        <v>1314</v>
      </c>
      <c r="B923" s="2" t="s">
        <v>348</v>
      </c>
      <c r="C923" s="2" t="s">
        <v>77</v>
      </c>
      <c r="D923" s="2" t="s">
        <v>19</v>
      </c>
      <c r="E923" s="2" t="s">
        <v>58</v>
      </c>
      <c r="F923" s="2" t="s">
        <v>21</v>
      </c>
      <c r="G923" s="2" t="s">
        <v>98</v>
      </c>
      <c r="H923" s="3">
        <v>16408</v>
      </c>
      <c r="I923" s="4">
        <v>30</v>
      </c>
      <c r="J923" s="5">
        <v>4.29</v>
      </c>
      <c r="K923" s="4">
        <v>90</v>
      </c>
      <c r="L923" s="3">
        <f t="shared" si="42"/>
        <v>1640.7999999999997</v>
      </c>
      <c r="M923" s="3">
        <f t="shared" si="43"/>
        <v>72.991969846401915</v>
      </c>
      <c r="N923" s="3">
        <v>206.4</v>
      </c>
      <c r="O923" s="5">
        <f t="shared" si="44"/>
        <v>35.364326475969918</v>
      </c>
      <c r="P923" s="2" t="s">
        <v>36</v>
      </c>
    </row>
    <row r="924" spans="1:16" x14ac:dyDescent="0.2">
      <c r="A924" s="2" t="s">
        <v>1315</v>
      </c>
      <c r="B924" s="2" t="s">
        <v>564</v>
      </c>
      <c r="C924" s="2" t="s">
        <v>26</v>
      </c>
      <c r="D924" s="2" t="s">
        <v>27</v>
      </c>
      <c r="E924" s="2" t="s">
        <v>68</v>
      </c>
      <c r="F924" s="2" t="s">
        <v>34</v>
      </c>
      <c r="G924" s="2" t="s">
        <v>98</v>
      </c>
      <c r="H924" s="3">
        <v>7112</v>
      </c>
      <c r="I924" s="4">
        <v>20</v>
      </c>
      <c r="J924" s="5">
        <v>5.12</v>
      </c>
      <c r="K924" s="4">
        <v>80</v>
      </c>
      <c r="L924" s="3">
        <f t="shared" si="42"/>
        <v>1422.3999999999996</v>
      </c>
      <c r="M924" s="3">
        <f t="shared" si="43"/>
        <v>37.927031390950347</v>
      </c>
      <c r="N924" s="3">
        <v>84.8</v>
      </c>
      <c r="O924" s="5">
        <f t="shared" si="44"/>
        <v>44.72527286668673</v>
      </c>
      <c r="P924" s="2" t="s">
        <v>36</v>
      </c>
    </row>
    <row r="925" spans="1:16" x14ac:dyDescent="0.2">
      <c r="A925" s="2" t="s">
        <v>1316</v>
      </c>
      <c r="B925" s="2" t="s">
        <v>267</v>
      </c>
      <c r="C925" s="2" t="s">
        <v>56</v>
      </c>
      <c r="D925" s="2" t="s">
        <v>57</v>
      </c>
      <c r="E925" s="2" t="s">
        <v>107</v>
      </c>
      <c r="F925" s="2" t="s">
        <v>28</v>
      </c>
      <c r="G925" s="2" t="s">
        <v>98</v>
      </c>
      <c r="H925" s="3">
        <v>14595</v>
      </c>
      <c r="I925" s="4">
        <v>25</v>
      </c>
      <c r="J925" s="5">
        <v>4.91</v>
      </c>
      <c r="K925" s="4">
        <v>70</v>
      </c>
      <c r="L925" s="3">
        <f t="shared" si="42"/>
        <v>4378.5000000000009</v>
      </c>
      <c r="M925" s="3">
        <f t="shared" si="43"/>
        <v>59.19015268166423</v>
      </c>
      <c r="N925" s="3">
        <v>231</v>
      </c>
      <c r="O925" s="5">
        <f t="shared" si="44"/>
        <v>25.623442719335166</v>
      </c>
      <c r="P925" s="2" t="s">
        <v>69</v>
      </c>
    </row>
    <row r="926" spans="1:16" x14ac:dyDescent="0.2">
      <c r="A926" s="2" t="s">
        <v>1317</v>
      </c>
      <c r="B926" s="2" t="s">
        <v>1160</v>
      </c>
      <c r="C926" s="2" t="s">
        <v>153</v>
      </c>
      <c r="D926" s="2" t="s">
        <v>19</v>
      </c>
      <c r="E926" s="2" t="s">
        <v>33</v>
      </c>
      <c r="F926" s="2" t="s">
        <v>59</v>
      </c>
      <c r="G926" s="2" t="s">
        <v>35</v>
      </c>
      <c r="H926" s="3">
        <v>17062</v>
      </c>
      <c r="I926" s="4">
        <v>30</v>
      </c>
      <c r="J926" s="5">
        <v>5.28</v>
      </c>
      <c r="K926" s="4">
        <v>85</v>
      </c>
      <c r="L926" s="3">
        <f t="shared" si="42"/>
        <v>2559.3000000000002</v>
      </c>
      <c r="M926" s="3">
        <f t="shared" si="43"/>
        <v>80.354138088941397</v>
      </c>
      <c r="N926" s="3">
        <v>286.2</v>
      </c>
      <c r="O926" s="5">
        <f t="shared" si="44"/>
        <v>28.076218759238785</v>
      </c>
      <c r="P926" s="2" t="s">
        <v>36</v>
      </c>
    </row>
    <row r="927" spans="1:16" x14ac:dyDescent="0.2">
      <c r="A927" s="2" t="s">
        <v>1318</v>
      </c>
      <c r="B927" s="2" t="s">
        <v>1230</v>
      </c>
      <c r="C927" s="2" t="s">
        <v>47</v>
      </c>
      <c r="D927" s="2" t="s">
        <v>48</v>
      </c>
      <c r="E927" s="2" t="s">
        <v>78</v>
      </c>
      <c r="F927" s="2" t="s">
        <v>28</v>
      </c>
      <c r="G927" s="2" t="s">
        <v>98</v>
      </c>
      <c r="H927" s="3">
        <v>4516</v>
      </c>
      <c r="I927" s="4">
        <v>25</v>
      </c>
      <c r="J927" s="5">
        <v>4.13</v>
      </c>
      <c r="K927" s="4">
        <v>75</v>
      </c>
      <c r="L927" s="3">
        <f t="shared" si="42"/>
        <v>1129</v>
      </c>
      <c r="M927" s="3">
        <f t="shared" si="43"/>
        <v>18.12184673903516</v>
      </c>
      <c r="N927" s="3">
        <v>55.1</v>
      </c>
      <c r="O927" s="5">
        <f t="shared" si="44"/>
        <v>32.889014045435857</v>
      </c>
      <c r="P927" s="2" t="s">
        <v>36</v>
      </c>
    </row>
    <row r="928" spans="1:16" x14ac:dyDescent="0.2">
      <c r="A928" s="2" t="s">
        <v>1319</v>
      </c>
      <c r="B928" s="2" t="s">
        <v>202</v>
      </c>
      <c r="C928" s="2" t="s">
        <v>72</v>
      </c>
      <c r="D928" s="2" t="s">
        <v>73</v>
      </c>
      <c r="E928" s="2" t="s">
        <v>97</v>
      </c>
      <c r="F928" s="2" t="s">
        <v>34</v>
      </c>
      <c r="G928" s="2" t="s">
        <v>22</v>
      </c>
      <c r="H928" s="3">
        <v>2058</v>
      </c>
      <c r="I928" s="4">
        <v>25</v>
      </c>
      <c r="J928" s="5">
        <v>3.95</v>
      </c>
      <c r="K928" s="4">
        <v>85</v>
      </c>
      <c r="L928" s="3">
        <f t="shared" si="42"/>
        <v>308.70000000000005</v>
      </c>
      <c r="M928" s="3">
        <f t="shared" si="43"/>
        <v>9.1852241667620795</v>
      </c>
      <c r="N928" s="3">
        <v>25</v>
      </c>
      <c r="O928" s="5">
        <f t="shared" si="44"/>
        <v>36.740896667048318</v>
      </c>
      <c r="P928" s="2" t="s">
        <v>69</v>
      </c>
    </row>
    <row r="929" spans="1:16" x14ac:dyDescent="0.2">
      <c r="A929" s="2" t="s">
        <v>1320</v>
      </c>
      <c r="B929" s="2" t="s">
        <v>520</v>
      </c>
      <c r="C929" s="2" t="s">
        <v>39</v>
      </c>
      <c r="D929" s="2" t="s">
        <v>40</v>
      </c>
      <c r="E929" s="2" t="s">
        <v>156</v>
      </c>
      <c r="F929" s="2" t="s">
        <v>21</v>
      </c>
      <c r="G929" s="2" t="s">
        <v>35</v>
      </c>
      <c r="H929" s="3">
        <v>7882</v>
      </c>
      <c r="I929" s="4">
        <v>25</v>
      </c>
      <c r="J929" s="5">
        <v>5.16</v>
      </c>
      <c r="K929" s="4">
        <v>80</v>
      </c>
      <c r="L929" s="3">
        <f t="shared" si="42"/>
        <v>1576.3999999999996</v>
      </c>
      <c r="M929" s="3">
        <f t="shared" si="43"/>
        <v>37.452099951854876</v>
      </c>
      <c r="N929" s="3">
        <v>89.5</v>
      </c>
      <c r="O929" s="5">
        <f t="shared" si="44"/>
        <v>41.845921733916065</v>
      </c>
      <c r="P929" s="2" t="s">
        <v>69</v>
      </c>
    </row>
    <row r="930" spans="1:16" x14ac:dyDescent="0.2">
      <c r="A930" s="2" t="s">
        <v>1321</v>
      </c>
      <c r="B930" s="2" t="s">
        <v>543</v>
      </c>
      <c r="C930" s="2" t="s">
        <v>142</v>
      </c>
      <c r="D930" s="2" t="s">
        <v>143</v>
      </c>
      <c r="E930" s="2" t="s">
        <v>41</v>
      </c>
      <c r="F930" s="2" t="s">
        <v>21</v>
      </c>
      <c r="G930" s="2" t="s">
        <v>98</v>
      </c>
      <c r="H930" s="3">
        <v>11819</v>
      </c>
      <c r="I930" s="4">
        <v>25</v>
      </c>
      <c r="J930" s="5">
        <v>4.6399999999999997</v>
      </c>
      <c r="K930" s="4">
        <v>90</v>
      </c>
      <c r="L930" s="3">
        <f t="shared" si="42"/>
        <v>1181.8999999999996</v>
      </c>
      <c r="M930" s="3">
        <f t="shared" si="43"/>
        <v>59.972896679854401</v>
      </c>
      <c r="N930" s="3">
        <v>174.8</v>
      </c>
      <c r="O930" s="5">
        <f t="shared" si="44"/>
        <v>34.309437459870935</v>
      </c>
      <c r="P930" s="2" t="s">
        <v>36</v>
      </c>
    </row>
    <row r="931" spans="1:16" x14ac:dyDescent="0.2">
      <c r="A931" s="2" t="s">
        <v>1322</v>
      </c>
      <c r="B931" s="2" t="s">
        <v>562</v>
      </c>
      <c r="C931" s="2" t="s">
        <v>153</v>
      </c>
      <c r="D931" s="2" t="s">
        <v>19</v>
      </c>
      <c r="E931" s="2" t="s">
        <v>81</v>
      </c>
      <c r="F931" s="2" t="s">
        <v>34</v>
      </c>
      <c r="G931" s="2" t="s">
        <v>22</v>
      </c>
      <c r="H931" s="3">
        <v>13968</v>
      </c>
      <c r="I931" s="4">
        <v>25</v>
      </c>
      <c r="J931" s="5">
        <v>4.78</v>
      </c>
      <c r="K931" s="4">
        <v>70</v>
      </c>
      <c r="L931" s="3">
        <f t="shared" si="42"/>
        <v>4190.4000000000005</v>
      </c>
      <c r="M931" s="3">
        <f t="shared" si="43"/>
        <v>55.912640625439288</v>
      </c>
      <c r="N931" s="3">
        <v>166.8</v>
      </c>
      <c r="O931" s="5">
        <f t="shared" si="44"/>
        <v>33.520767761054728</v>
      </c>
      <c r="P931" s="2" t="s">
        <v>36</v>
      </c>
    </row>
    <row r="932" spans="1:16" x14ac:dyDescent="0.2">
      <c r="A932" s="2" t="s">
        <v>1323</v>
      </c>
      <c r="B932" s="2" t="s">
        <v>997</v>
      </c>
      <c r="C932" s="2" t="s">
        <v>47</v>
      </c>
      <c r="D932" s="2" t="s">
        <v>48</v>
      </c>
      <c r="E932" s="2" t="s">
        <v>49</v>
      </c>
      <c r="F932" s="2" t="s">
        <v>21</v>
      </c>
      <c r="G932" s="2" t="s">
        <v>35</v>
      </c>
      <c r="H932" s="3">
        <v>13453</v>
      </c>
      <c r="I932" s="4">
        <v>15</v>
      </c>
      <c r="J932" s="5">
        <v>4.75</v>
      </c>
      <c r="K932" s="4">
        <v>85</v>
      </c>
      <c r="L932" s="3">
        <f t="shared" si="42"/>
        <v>2017.9500000000003</v>
      </c>
      <c r="M932" s="3">
        <f t="shared" si="43"/>
        <v>88.945468706132885</v>
      </c>
      <c r="N932" s="3">
        <v>163.30000000000001</v>
      </c>
      <c r="O932" s="5">
        <f t="shared" si="44"/>
        <v>54.467525233394284</v>
      </c>
      <c r="P932" s="2" t="s">
        <v>23</v>
      </c>
    </row>
    <row r="933" spans="1:16" x14ac:dyDescent="0.2">
      <c r="A933" s="2" t="s">
        <v>1324</v>
      </c>
      <c r="B933" s="2" t="s">
        <v>949</v>
      </c>
      <c r="C933" s="2" t="s">
        <v>146</v>
      </c>
      <c r="D933" s="2" t="s">
        <v>19</v>
      </c>
      <c r="E933" s="2" t="s">
        <v>20</v>
      </c>
      <c r="F933" s="2" t="s">
        <v>28</v>
      </c>
      <c r="G933" s="2" t="s">
        <v>44</v>
      </c>
      <c r="H933" s="3">
        <v>2509</v>
      </c>
      <c r="I933" s="4">
        <v>15</v>
      </c>
      <c r="J933" s="5">
        <v>5.28</v>
      </c>
      <c r="K933" s="4">
        <v>80</v>
      </c>
      <c r="L933" s="3">
        <f t="shared" si="42"/>
        <v>501.7999999999999</v>
      </c>
      <c r="M933" s="3">
        <f t="shared" si="43"/>
        <v>16.167112745109399</v>
      </c>
      <c r="N933" s="3">
        <v>27.9</v>
      </c>
      <c r="O933" s="5">
        <f t="shared" si="44"/>
        <v>57.946640663474561</v>
      </c>
      <c r="P933" s="2" t="s">
        <v>36</v>
      </c>
    </row>
    <row r="934" spans="1:16" x14ac:dyDescent="0.2">
      <c r="A934" s="2" t="s">
        <v>1325</v>
      </c>
      <c r="B934" s="2" t="s">
        <v>692</v>
      </c>
      <c r="C934" s="2" t="s">
        <v>32</v>
      </c>
      <c r="D934" s="2" t="s">
        <v>32</v>
      </c>
      <c r="E934" s="2" t="s">
        <v>88</v>
      </c>
      <c r="F934" s="2" t="s">
        <v>21</v>
      </c>
      <c r="G934" s="2" t="s">
        <v>22</v>
      </c>
      <c r="H934" s="3">
        <v>16993</v>
      </c>
      <c r="I934" s="4">
        <v>15</v>
      </c>
      <c r="J934" s="5">
        <v>5.07</v>
      </c>
      <c r="K934" s="4">
        <v>70</v>
      </c>
      <c r="L934" s="3">
        <f t="shared" si="42"/>
        <v>5097.9000000000005</v>
      </c>
      <c r="M934" s="3">
        <f t="shared" si="43"/>
        <v>94.500011320186502</v>
      </c>
      <c r="N934" s="3">
        <v>274.60000000000002</v>
      </c>
      <c r="O934" s="5">
        <f t="shared" si="44"/>
        <v>34.413696766273304</v>
      </c>
      <c r="P934" s="2" t="s">
        <v>36</v>
      </c>
    </row>
    <row r="935" spans="1:16" x14ac:dyDescent="0.2">
      <c r="A935" s="2" t="s">
        <v>1326</v>
      </c>
      <c r="B935" s="2" t="s">
        <v>645</v>
      </c>
      <c r="C935" s="2" t="s">
        <v>119</v>
      </c>
      <c r="D935" s="2" t="s">
        <v>120</v>
      </c>
      <c r="E935" s="2" t="s">
        <v>74</v>
      </c>
      <c r="F935" s="2" t="s">
        <v>21</v>
      </c>
      <c r="G935" s="2" t="s">
        <v>98</v>
      </c>
      <c r="H935" s="3">
        <v>4160</v>
      </c>
      <c r="I935" s="4">
        <v>25</v>
      </c>
      <c r="J935" s="5">
        <v>4.55</v>
      </c>
      <c r="K935" s="4">
        <v>90</v>
      </c>
      <c r="L935" s="3">
        <f t="shared" si="42"/>
        <v>415.99999999999989</v>
      </c>
      <c r="M935" s="3">
        <f t="shared" si="43"/>
        <v>20.916765771199646</v>
      </c>
      <c r="N935" s="3">
        <v>59.2</v>
      </c>
      <c r="O935" s="5">
        <f t="shared" si="44"/>
        <v>35.332374613512911</v>
      </c>
      <c r="P935" s="2" t="s">
        <v>36</v>
      </c>
    </row>
    <row r="936" spans="1:16" x14ac:dyDescent="0.2">
      <c r="A936" s="2" t="s">
        <v>1327</v>
      </c>
      <c r="B936" s="2" t="s">
        <v>912</v>
      </c>
      <c r="C936" s="2" t="s">
        <v>142</v>
      </c>
      <c r="D936" s="2" t="s">
        <v>143</v>
      </c>
      <c r="E936" s="2" t="s">
        <v>78</v>
      </c>
      <c r="F936" s="2" t="s">
        <v>28</v>
      </c>
      <c r="G936" s="2" t="s">
        <v>98</v>
      </c>
      <c r="H936" s="3">
        <v>17135</v>
      </c>
      <c r="I936" s="4">
        <v>25</v>
      </c>
      <c r="J936" s="5">
        <v>5.14</v>
      </c>
      <c r="K936" s="4">
        <v>90</v>
      </c>
      <c r="L936" s="3">
        <f t="shared" si="42"/>
        <v>1713.4999999999995</v>
      </c>
      <c r="M936" s="3">
        <f t="shared" si="43"/>
        <v>91.414909322147281</v>
      </c>
      <c r="N936" s="3">
        <v>255.5</v>
      </c>
      <c r="O936" s="5">
        <f t="shared" si="44"/>
        <v>35.77882948029248</v>
      </c>
      <c r="P936" s="2" t="s">
        <v>36</v>
      </c>
    </row>
    <row r="937" spans="1:16" x14ac:dyDescent="0.2">
      <c r="A937" s="2" t="s">
        <v>1328</v>
      </c>
      <c r="B937" s="2" t="s">
        <v>953</v>
      </c>
      <c r="C937" s="2" t="s">
        <v>175</v>
      </c>
      <c r="D937" s="2" t="s">
        <v>176</v>
      </c>
      <c r="E937" s="2" t="s">
        <v>20</v>
      </c>
      <c r="F937" s="2" t="s">
        <v>59</v>
      </c>
      <c r="G937" s="2" t="s">
        <v>44</v>
      </c>
      <c r="H937" s="3">
        <v>14928</v>
      </c>
      <c r="I937" s="4">
        <v>30</v>
      </c>
      <c r="J937" s="5">
        <v>4.4800000000000004</v>
      </c>
      <c r="K937" s="4">
        <v>75</v>
      </c>
      <c r="L937" s="3">
        <f t="shared" si="42"/>
        <v>3732</v>
      </c>
      <c r="M937" s="3">
        <f t="shared" si="43"/>
        <v>56.595516718201111</v>
      </c>
      <c r="N937" s="3">
        <v>179.1</v>
      </c>
      <c r="O937" s="5">
        <f t="shared" si="44"/>
        <v>31.599953499833116</v>
      </c>
      <c r="P937" s="2" t="s">
        <v>36</v>
      </c>
    </row>
    <row r="938" spans="1:16" x14ac:dyDescent="0.2">
      <c r="A938" s="2" t="s">
        <v>1329</v>
      </c>
      <c r="B938" s="2" t="s">
        <v>1330</v>
      </c>
      <c r="C938" s="2" t="s">
        <v>47</v>
      </c>
      <c r="D938" s="2" t="s">
        <v>48</v>
      </c>
      <c r="E938" s="2" t="s">
        <v>58</v>
      </c>
      <c r="F938" s="2" t="s">
        <v>59</v>
      </c>
      <c r="G938" s="2" t="s">
        <v>35</v>
      </c>
      <c r="H938" s="3">
        <v>13246</v>
      </c>
      <c r="I938" s="4">
        <v>20</v>
      </c>
      <c r="J938" s="5">
        <v>5.47</v>
      </c>
      <c r="K938" s="4">
        <v>80</v>
      </c>
      <c r="L938" s="3">
        <f t="shared" si="42"/>
        <v>2649.1999999999994</v>
      </c>
      <c r="M938" s="3">
        <f t="shared" si="43"/>
        <v>72.71460751460755</v>
      </c>
      <c r="N938" s="3">
        <v>164.8</v>
      </c>
      <c r="O938" s="5">
        <f t="shared" si="44"/>
        <v>44.122941453038564</v>
      </c>
      <c r="P938" s="2" t="s">
        <v>36</v>
      </c>
    </row>
    <row r="939" spans="1:16" x14ac:dyDescent="0.2">
      <c r="A939" s="2" t="s">
        <v>1331</v>
      </c>
      <c r="B939" s="2" t="s">
        <v>126</v>
      </c>
      <c r="C939" s="2" t="s">
        <v>56</v>
      </c>
      <c r="D939" s="2" t="s">
        <v>57</v>
      </c>
      <c r="E939" s="2" t="s">
        <v>41</v>
      </c>
      <c r="F939" s="2" t="s">
        <v>34</v>
      </c>
      <c r="G939" s="2" t="s">
        <v>35</v>
      </c>
      <c r="H939" s="3">
        <v>9262</v>
      </c>
      <c r="I939" s="4">
        <v>20</v>
      </c>
      <c r="J939" s="5">
        <v>4.41</v>
      </c>
      <c r="K939" s="4">
        <v>90</v>
      </c>
      <c r="L939" s="3">
        <f t="shared" si="42"/>
        <v>926.19999999999982</v>
      </c>
      <c r="M939" s="3">
        <f t="shared" si="43"/>
        <v>52.332283901274856</v>
      </c>
      <c r="N939" s="3">
        <v>109.1</v>
      </c>
      <c r="O939" s="5">
        <f t="shared" si="44"/>
        <v>47.967262970921041</v>
      </c>
      <c r="P939" s="2" t="s">
        <v>29</v>
      </c>
    </row>
    <row r="940" spans="1:16" x14ac:dyDescent="0.2">
      <c r="A940" s="2" t="s">
        <v>1332</v>
      </c>
      <c r="B940" s="2" t="s">
        <v>821</v>
      </c>
      <c r="C940" s="2" t="s">
        <v>18</v>
      </c>
      <c r="D940" s="2" t="s">
        <v>19</v>
      </c>
      <c r="E940" s="2" t="s">
        <v>97</v>
      </c>
      <c r="F940" s="2" t="s">
        <v>59</v>
      </c>
      <c r="G940" s="2" t="s">
        <v>35</v>
      </c>
      <c r="H940" s="3">
        <v>3911</v>
      </c>
      <c r="I940" s="4">
        <v>15</v>
      </c>
      <c r="J940" s="5">
        <v>4.08</v>
      </c>
      <c r="K940" s="4">
        <v>80</v>
      </c>
      <c r="L940" s="3">
        <f t="shared" si="42"/>
        <v>782.19999999999982</v>
      </c>
      <c r="M940" s="3">
        <f t="shared" si="43"/>
        <v>23.26898914097961</v>
      </c>
      <c r="N940" s="3">
        <v>64.8</v>
      </c>
      <c r="O940" s="5">
        <f t="shared" si="44"/>
        <v>35.908933859536432</v>
      </c>
      <c r="P940" s="2" t="s">
        <v>29</v>
      </c>
    </row>
    <row r="941" spans="1:16" x14ac:dyDescent="0.2">
      <c r="A941" s="2" t="s">
        <v>1333</v>
      </c>
      <c r="B941" s="2" t="s">
        <v>487</v>
      </c>
      <c r="C941" s="2" t="s">
        <v>47</v>
      </c>
      <c r="D941" s="2" t="s">
        <v>48</v>
      </c>
      <c r="E941" s="2" t="s">
        <v>78</v>
      </c>
      <c r="F941" s="2" t="s">
        <v>28</v>
      </c>
      <c r="G941" s="2" t="s">
        <v>22</v>
      </c>
      <c r="H941" s="3">
        <v>6954</v>
      </c>
      <c r="I941" s="4">
        <v>20</v>
      </c>
      <c r="J941" s="5">
        <v>5.61</v>
      </c>
      <c r="K941" s="4">
        <v>80</v>
      </c>
      <c r="L941" s="3">
        <f t="shared" si="42"/>
        <v>1390.7999999999997</v>
      </c>
      <c r="M941" s="3">
        <f t="shared" si="43"/>
        <v>38.614998942166764</v>
      </c>
      <c r="N941" s="3">
        <v>104.4</v>
      </c>
      <c r="O941" s="5">
        <f t="shared" si="44"/>
        <v>36.987546879470081</v>
      </c>
      <c r="P941" s="2" t="s">
        <v>23</v>
      </c>
    </row>
    <row r="942" spans="1:16" x14ac:dyDescent="0.2">
      <c r="A942" s="2" t="s">
        <v>1334</v>
      </c>
      <c r="B942" s="2" t="s">
        <v>170</v>
      </c>
      <c r="C942" s="2" t="s">
        <v>100</v>
      </c>
      <c r="D942" s="2" t="s">
        <v>32</v>
      </c>
      <c r="E942" s="2" t="s">
        <v>74</v>
      </c>
      <c r="F942" s="2" t="s">
        <v>50</v>
      </c>
      <c r="G942" s="2" t="s">
        <v>44</v>
      </c>
      <c r="H942" s="3">
        <v>11296</v>
      </c>
      <c r="I942" s="4">
        <v>20</v>
      </c>
      <c r="J942" s="5">
        <v>5.19</v>
      </c>
      <c r="K942" s="4">
        <v>80</v>
      </c>
      <c r="L942" s="3">
        <f t="shared" si="42"/>
        <v>2259.1999999999994</v>
      </c>
      <c r="M942" s="3">
        <f t="shared" si="43"/>
        <v>60.591452345896592</v>
      </c>
      <c r="N942" s="3">
        <v>188.5</v>
      </c>
      <c r="O942" s="5">
        <f t="shared" si="44"/>
        <v>32.144006549547264</v>
      </c>
      <c r="P942" s="2" t="s">
        <v>36</v>
      </c>
    </row>
    <row r="943" spans="1:16" x14ac:dyDescent="0.2">
      <c r="A943" s="2" t="s">
        <v>1335</v>
      </c>
      <c r="B943" s="2" t="s">
        <v>692</v>
      </c>
      <c r="C943" s="2" t="s">
        <v>62</v>
      </c>
      <c r="D943" s="2" t="s">
        <v>63</v>
      </c>
      <c r="E943" s="2" t="s">
        <v>177</v>
      </c>
      <c r="F943" s="2" t="s">
        <v>59</v>
      </c>
      <c r="G943" s="2" t="s">
        <v>98</v>
      </c>
      <c r="H943" s="3">
        <v>10674</v>
      </c>
      <c r="I943" s="4">
        <v>25</v>
      </c>
      <c r="J943" s="5">
        <v>5.59</v>
      </c>
      <c r="K943" s="4">
        <v>90</v>
      </c>
      <c r="L943" s="3">
        <f t="shared" si="42"/>
        <v>1067.3999999999999</v>
      </c>
      <c r="M943" s="3">
        <f t="shared" si="43"/>
        <v>59.510372114311721</v>
      </c>
      <c r="N943" s="3">
        <v>137.4</v>
      </c>
      <c r="O943" s="5">
        <f t="shared" si="44"/>
        <v>43.311770097752344</v>
      </c>
      <c r="P943" s="2" t="s">
        <v>36</v>
      </c>
    </row>
    <row r="944" spans="1:16" x14ac:dyDescent="0.2">
      <c r="A944" s="2" t="s">
        <v>1336</v>
      </c>
      <c r="B944" s="2" t="s">
        <v>997</v>
      </c>
      <c r="C944" s="2" t="s">
        <v>153</v>
      </c>
      <c r="D944" s="2" t="s">
        <v>19</v>
      </c>
      <c r="E944" s="2" t="s">
        <v>156</v>
      </c>
      <c r="F944" s="2" t="s">
        <v>21</v>
      </c>
      <c r="G944" s="2" t="s">
        <v>98</v>
      </c>
      <c r="H944" s="3">
        <v>12548</v>
      </c>
      <c r="I944" s="4">
        <v>15</v>
      </c>
      <c r="J944" s="5">
        <v>4.47</v>
      </c>
      <c r="K944" s="4">
        <v>90</v>
      </c>
      <c r="L944" s="3">
        <f t="shared" si="42"/>
        <v>1254.7999999999997</v>
      </c>
      <c r="M944" s="3">
        <f t="shared" si="43"/>
        <v>86.219172740531818</v>
      </c>
      <c r="N944" s="3">
        <v>201.9</v>
      </c>
      <c r="O944" s="5">
        <f t="shared" si="44"/>
        <v>42.703899326662615</v>
      </c>
      <c r="P944" s="2" t="s">
        <v>36</v>
      </c>
    </row>
    <row r="945" spans="1:16" x14ac:dyDescent="0.2">
      <c r="A945" s="2" t="s">
        <v>1337</v>
      </c>
      <c r="B945" s="2" t="s">
        <v>483</v>
      </c>
      <c r="C945" s="2" t="s">
        <v>47</v>
      </c>
      <c r="D945" s="2" t="s">
        <v>48</v>
      </c>
      <c r="E945" s="2" t="s">
        <v>97</v>
      </c>
      <c r="F945" s="2" t="s">
        <v>34</v>
      </c>
      <c r="G945" s="2" t="s">
        <v>35</v>
      </c>
      <c r="H945" s="3">
        <v>1592</v>
      </c>
      <c r="I945" s="4">
        <v>20</v>
      </c>
      <c r="J945" s="5">
        <v>4.04</v>
      </c>
      <c r="K945" s="4">
        <v>80</v>
      </c>
      <c r="L945" s="3">
        <f t="shared" si="42"/>
        <v>318.39999999999992</v>
      </c>
      <c r="M945" s="3">
        <f t="shared" si="43"/>
        <v>7.7446359129408338</v>
      </c>
      <c r="N945" s="3">
        <v>20.7</v>
      </c>
      <c r="O945" s="5">
        <f t="shared" si="44"/>
        <v>37.413700062516106</v>
      </c>
      <c r="P945" s="2" t="s">
        <v>36</v>
      </c>
    </row>
    <row r="946" spans="1:16" x14ac:dyDescent="0.2">
      <c r="A946" s="2" t="s">
        <v>1338</v>
      </c>
      <c r="B946" s="2" t="s">
        <v>589</v>
      </c>
      <c r="C946" s="2" t="s">
        <v>47</v>
      </c>
      <c r="D946" s="2" t="s">
        <v>48</v>
      </c>
      <c r="E946" s="2" t="s">
        <v>49</v>
      </c>
      <c r="F946" s="2" t="s">
        <v>34</v>
      </c>
      <c r="G946" s="2" t="s">
        <v>44</v>
      </c>
      <c r="H946" s="3">
        <v>14320</v>
      </c>
      <c r="I946" s="4">
        <v>20</v>
      </c>
      <c r="J946" s="5">
        <v>4.78</v>
      </c>
      <c r="K946" s="4">
        <v>90</v>
      </c>
      <c r="L946" s="3">
        <f t="shared" si="42"/>
        <v>1431.9999999999998</v>
      </c>
      <c r="M946" s="3">
        <f t="shared" si="43"/>
        <v>83.496606128557872</v>
      </c>
      <c r="N946" s="3">
        <v>217.2</v>
      </c>
      <c r="O946" s="5">
        <f t="shared" si="44"/>
        <v>38.442268014989814</v>
      </c>
      <c r="P946" s="2" t="s">
        <v>36</v>
      </c>
    </row>
    <row r="947" spans="1:16" x14ac:dyDescent="0.2">
      <c r="A947" s="2" t="s">
        <v>1339</v>
      </c>
      <c r="B947" s="2" t="s">
        <v>1340</v>
      </c>
      <c r="C947" s="2" t="s">
        <v>53</v>
      </c>
      <c r="D947" s="2" t="s">
        <v>19</v>
      </c>
      <c r="E947" s="2" t="s">
        <v>58</v>
      </c>
      <c r="F947" s="2" t="s">
        <v>28</v>
      </c>
      <c r="G947" s="2" t="s">
        <v>44</v>
      </c>
      <c r="H947" s="3">
        <v>4285</v>
      </c>
      <c r="I947" s="4">
        <v>30</v>
      </c>
      <c r="J947" s="5">
        <v>4.29</v>
      </c>
      <c r="K947" s="4">
        <v>90</v>
      </c>
      <c r="L947" s="3">
        <f t="shared" si="42"/>
        <v>428.49999999999989</v>
      </c>
      <c r="M947" s="3">
        <f t="shared" si="43"/>
        <v>19.062078912227705</v>
      </c>
      <c r="N947" s="3">
        <v>53.4</v>
      </c>
      <c r="O947" s="5">
        <f t="shared" si="44"/>
        <v>35.696776989190461</v>
      </c>
      <c r="P947" s="2" t="s">
        <v>29</v>
      </c>
    </row>
    <row r="948" spans="1:16" x14ac:dyDescent="0.2">
      <c r="A948" s="2" t="s">
        <v>1341</v>
      </c>
      <c r="B948" s="2" t="s">
        <v>181</v>
      </c>
      <c r="C948" s="2" t="s">
        <v>53</v>
      </c>
      <c r="D948" s="2" t="s">
        <v>19</v>
      </c>
      <c r="E948" s="2" t="s">
        <v>49</v>
      </c>
      <c r="F948" s="2" t="s">
        <v>21</v>
      </c>
      <c r="G948" s="2" t="s">
        <v>44</v>
      </c>
      <c r="H948" s="3">
        <v>8771</v>
      </c>
      <c r="I948" s="4">
        <v>20</v>
      </c>
      <c r="J948" s="5">
        <v>4.2699999999999996</v>
      </c>
      <c r="K948" s="4">
        <v>75</v>
      </c>
      <c r="L948" s="3">
        <f t="shared" si="42"/>
        <v>2192.75</v>
      </c>
      <c r="M948" s="3">
        <f t="shared" si="43"/>
        <v>40.805000787105598</v>
      </c>
      <c r="N948" s="3">
        <v>98.3</v>
      </c>
      <c r="O948" s="5">
        <f t="shared" si="44"/>
        <v>41.510682387696441</v>
      </c>
      <c r="P948" s="2" t="s">
        <v>23</v>
      </c>
    </row>
    <row r="949" spans="1:16" x14ac:dyDescent="0.2">
      <c r="A949" s="2" t="s">
        <v>1342</v>
      </c>
      <c r="B949" s="2" t="s">
        <v>350</v>
      </c>
      <c r="C949" s="2" t="s">
        <v>47</v>
      </c>
      <c r="D949" s="2" t="s">
        <v>48</v>
      </c>
      <c r="E949" s="2" t="s">
        <v>177</v>
      </c>
      <c r="F949" s="2" t="s">
        <v>28</v>
      </c>
      <c r="G949" s="2" t="s">
        <v>35</v>
      </c>
      <c r="H949" s="3">
        <v>8391</v>
      </c>
      <c r="I949" s="4">
        <v>25</v>
      </c>
      <c r="J949" s="5">
        <v>5.0599999999999996</v>
      </c>
      <c r="K949" s="4">
        <v>80</v>
      </c>
      <c r="L949" s="3">
        <f t="shared" si="42"/>
        <v>1678.1999999999996</v>
      </c>
      <c r="M949" s="3">
        <f t="shared" si="43"/>
        <v>39.477380658290912</v>
      </c>
      <c r="N949" s="3">
        <v>149</v>
      </c>
      <c r="O949" s="5">
        <f t="shared" si="44"/>
        <v>26.494886347846247</v>
      </c>
      <c r="P949" s="2" t="s">
        <v>29</v>
      </c>
    </row>
    <row r="950" spans="1:16" x14ac:dyDescent="0.2">
      <c r="A950" s="2" t="s">
        <v>1343</v>
      </c>
      <c r="B950" s="2" t="s">
        <v>797</v>
      </c>
      <c r="C950" s="2" t="s">
        <v>119</v>
      </c>
      <c r="D950" s="2" t="s">
        <v>120</v>
      </c>
      <c r="E950" s="2" t="s">
        <v>156</v>
      </c>
      <c r="F950" s="2" t="s">
        <v>34</v>
      </c>
      <c r="G950" s="2" t="s">
        <v>35</v>
      </c>
      <c r="H950" s="3">
        <v>3852</v>
      </c>
      <c r="I950" s="4">
        <v>20</v>
      </c>
      <c r="J950" s="5">
        <v>5.26</v>
      </c>
      <c r="K950" s="4">
        <v>85</v>
      </c>
      <c r="L950" s="3">
        <f t="shared" si="42"/>
        <v>577.80000000000007</v>
      </c>
      <c r="M950" s="3">
        <f t="shared" si="43"/>
        <v>22.081300810559881</v>
      </c>
      <c r="N950" s="3">
        <v>47.8</v>
      </c>
      <c r="O950" s="5">
        <f t="shared" si="44"/>
        <v>46.195189980250802</v>
      </c>
      <c r="P950" s="2" t="s">
        <v>36</v>
      </c>
    </row>
    <row r="951" spans="1:16" x14ac:dyDescent="0.2">
      <c r="A951" s="2" t="s">
        <v>1344</v>
      </c>
      <c r="B951" s="2" t="s">
        <v>96</v>
      </c>
      <c r="C951" s="2" t="s">
        <v>175</v>
      </c>
      <c r="D951" s="2" t="s">
        <v>176</v>
      </c>
      <c r="E951" s="2" t="s">
        <v>20</v>
      </c>
      <c r="F951" s="2" t="s">
        <v>50</v>
      </c>
      <c r="G951" s="2" t="s">
        <v>22</v>
      </c>
      <c r="H951" s="3">
        <v>12496</v>
      </c>
      <c r="I951" s="4">
        <v>30</v>
      </c>
      <c r="J951" s="5">
        <v>4.1500000000000004</v>
      </c>
      <c r="K951" s="4">
        <v>80</v>
      </c>
      <c r="L951" s="3">
        <f t="shared" si="42"/>
        <v>2499.1999999999994</v>
      </c>
      <c r="M951" s="3">
        <f t="shared" si="43"/>
        <v>48.594776972287342</v>
      </c>
      <c r="N951" s="3">
        <v>194.3</v>
      </c>
      <c r="O951" s="5">
        <f t="shared" si="44"/>
        <v>25.010178575546753</v>
      </c>
      <c r="P951" s="2" t="s">
        <v>69</v>
      </c>
    </row>
    <row r="952" spans="1:16" x14ac:dyDescent="0.2">
      <c r="A952" s="2" t="s">
        <v>1345</v>
      </c>
      <c r="B952" s="2" t="s">
        <v>760</v>
      </c>
      <c r="C952" s="2" t="s">
        <v>91</v>
      </c>
      <c r="D952" s="2" t="s">
        <v>92</v>
      </c>
      <c r="E952" s="2" t="s">
        <v>114</v>
      </c>
      <c r="F952" s="2" t="s">
        <v>21</v>
      </c>
      <c r="G952" s="2" t="s">
        <v>44</v>
      </c>
      <c r="H952" s="3">
        <v>10675</v>
      </c>
      <c r="I952" s="4">
        <v>25</v>
      </c>
      <c r="J952" s="5">
        <v>4.07</v>
      </c>
      <c r="K952" s="4">
        <v>80</v>
      </c>
      <c r="L952" s="3">
        <f t="shared" si="42"/>
        <v>2134.9999999999995</v>
      </c>
      <c r="M952" s="3">
        <f t="shared" si="43"/>
        <v>45.407998170161832</v>
      </c>
      <c r="N952" s="3">
        <v>139.5</v>
      </c>
      <c r="O952" s="5">
        <f t="shared" si="44"/>
        <v>32.550536322696658</v>
      </c>
      <c r="P952" s="2" t="s">
        <v>36</v>
      </c>
    </row>
    <row r="953" spans="1:16" x14ac:dyDescent="0.2">
      <c r="A953" s="2" t="s">
        <v>1346</v>
      </c>
      <c r="B953" s="2" t="s">
        <v>272</v>
      </c>
      <c r="C953" s="2" t="s">
        <v>53</v>
      </c>
      <c r="D953" s="2" t="s">
        <v>19</v>
      </c>
      <c r="E953" s="2" t="s">
        <v>33</v>
      </c>
      <c r="F953" s="2" t="s">
        <v>50</v>
      </c>
      <c r="G953" s="2" t="s">
        <v>44</v>
      </c>
      <c r="H953" s="3">
        <v>12287</v>
      </c>
      <c r="I953" s="4">
        <v>15</v>
      </c>
      <c r="J953" s="5">
        <v>3.95</v>
      </c>
      <c r="K953" s="4">
        <v>85</v>
      </c>
      <c r="L953" s="3">
        <f t="shared" si="42"/>
        <v>1843.0500000000002</v>
      </c>
      <c r="M953" s="3">
        <f t="shared" si="43"/>
        <v>76.991212946309091</v>
      </c>
      <c r="N953" s="3">
        <v>150</v>
      </c>
      <c r="O953" s="5">
        <f t="shared" si="44"/>
        <v>51.327475297539394</v>
      </c>
      <c r="P953" s="2" t="s">
        <v>69</v>
      </c>
    </row>
    <row r="954" spans="1:16" x14ac:dyDescent="0.2">
      <c r="A954" s="2" t="s">
        <v>1347</v>
      </c>
      <c r="B954" s="2" t="s">
        <v>645</v>
      </c>
      <c r="C954" s="2" t="s">
        <v>56</v>
      </c>
      <c r="D954" s="2" t="s">
        <v>57</v>
      </c>
      <c r="E954" s="2" t="s">
        <v>114</v>
      </c>
      <c r="F954" s="2" t="s">
        <v>21</v>
      </c>
      <c r="G954" s="2" t="s">
        <v>35</v>
      </c>
      <c r="H954" s="3">
        <v>13842</v>
      </c>
      <c r="I954" s="4">
        <v>20</v>
      </c>
      <c r="J954" s="5">
        <v>4.54</v>
      </c>
      <c r="K954" s="4">
        <v>80</v>
      </c>
      <c r="L954" s="3">
        <f t="shared" si="42"/>
        <v>2768.3999999999992</v>
      </c>
      <c r="M954" s="3">
        <f t="shared" si="43"/>
        <v>70.29638509181548</v>
      </c>
      <c r="N954" s="3">
        <v>156.19999999999999</v>
      </c>
      <c r="O954" s="5">
        <f t="shared" si="44"/>
        <v>45.004087766847299</v>
      </c>
      <c r="P954" s="2" t="s">
        <v>36</v>
      </c>
    </row>
    <row r="955" spans="1:16" x14ac:dyDescent="0.2">
      <c r="A955" s="2" t="s">
        <v>1348</v>
      </c>
      <c r="B955" s="2" t="s">
        <v>338</v>
      </c>
      <c r="C955" s="2" t="s">
        <v>56</v>
      </c>
      <c r="D955" s="2" t="s">
        <v>57</v>
      </c>
      <c r="E955" s="2" t="s">
        <v>20</v>
      </c>
      <c r="F955" s="2" t="s">
        <v>50</v>
      </c>
      <c r="G955" s="2" t="s">
        <v>98</v>
      </c>
      <c r="H955" s="3">
        <v>6498</v>
      </c>
      <c r="I955" s="4">
        <v>20</v>
      </c>
      <c r="J955" s="5">
        <v>4.87</v>
      </c>
      <c r="K955" s="4">
        <v>80</v>
      </c>
      <c r="L955" s="3">
        <f t="shared" si="42"/>
        <v>1299.5999999999997</v>
      </c>
      <c r="M955" s="3">
        <f t="shared" si="43"/>
        <v>33.934917844266636</v>
      </c>
      <c r="N955" s="3">
        <v>81.5</v>
      </c>
      <c r="O955" s="5">
        <f t="shared" si="44"/>
        <v>41.63793600523514</v>
      </c>
      <c r="P955" s="2" t="s">
        <v>36</v>
      </c>
    </row>
    <row r="956" spans="1:16" x14ac:dyDescent="0.2">
      <c r="A956" s="2" t="s">
        <v>1349</v>
      </c>
      <c r="B956" s="2" t="s">
        <v>388</v>
      </c>
      <c r="C956" s="2" t="s">
        <v>47</v>
      </c>
      <c r="D956" s="2" t="s">
        <v>48</v>
      </c>
      <c r="E956" s="2" t="s">
        <v>41</v>
      </c>
      <c r="F956" s="2" t="s">
        <v>34</v>
      </c>
      <c r="G956" s="2" t="s">
        <v>22</v>
      </c>
      <c r="H956" s="3">
        <v>16417</v>
      </c>
      <c r="I956" s="4">
        <v>25</v>
      </c>
      <c r="J956" s="5">
        <v>5.43</v>
      </c>
      <c r="K956" s="4">
        <v>80</v>
      </c>
      <c r="L956" s="3">
        <f t="shared" si="42"/>
        <v>3283.3999999999992</v>
      </c>
      <c r="M956" s="3">
        <f t="shared" si="43"/>
        <v>80.103687288037349</v>
      </c>
      <c r="N956" s="3">
        <v>252.7</v>
      </c>
      <c r="O956" s="5">
        <f t="shared" si="44"/>
        <v>31.699124371997367</v>
      </c>
      <c r="P956" s="2" t="s">
        <v>36</v>
      </c>
    </row>
    <row r="957" spans="1:16" x14ac:dyDescent="0.2">
      <c r="A957" s="2" t="s">
        <v>1350</v>
      </c>
      <c r="B957" s="2" t="s">
        <v>610</v>
      </c>
      <c r="C957" s="2" t="s">
        <v>72</v>
      </c>
      <c r="D957" s="2" t="s">
        <v>73</v>
      </c>
      <c r="E957" s="2" t="s">
        <v>114</v>
      </c>
      <c r="F957" s="2" t="s">
        <v>50</v>
      </c>
      <c r="G957" s="2" t="s">
        <v>35</v>
      </c>
      <c r="H957" s="3">
        <v>12688</v>
      </c>
      <c r="I957" s="4">
        <v>30</v>
      </c>
      <c r="J957" s="5">
        <v>4.6100000000000003</v>
      </c>
      <c r="K957" s="4">
        <v>75</v>
      </c>
      <c r="L957" s="3">
        <f t="shared" si="42"/>
        <v>3172</v>
      </c>
      <c r="M957" s="3">
        <f t="shared" si="43"/>
        <v>48.84012486731509</v>
      </c>
      <c r="N957" s="3">
        <v>152.19999999999999</v>
      </c>
      <c r="O957" s="5">
        <f t="shared" si="44"/>
        <v>32.089438151981007</v>
      </c>
      <c r="P957" s="2" t="s">
        <v>36</v>
      </c>
    </row>
    <row r="958" spans="1:16" x14ac:dyDescent="0.2">
      <c r="A958" s="2" t="s">
        <v>1351</v>
      </c>
      <c r="B958" s="2" t="s">
        <v>1160</v>
      </c>
      <c r="C958" s="2" t="s">
        <v>72</v>
      </c>
      <c r="D958" s="2" t="s">
        <v>73</v>
      </c>
      <c r="E958" s="2" t="s">
        <v>68</v>
      </c>
      <c r="F958" s="2" t="s">
        <v>21</v>
      </c>
      <c r="G958" s="2" t="s">
        <v>44</v>
      </c>
      <c r="H958" s="3">
        <v>12095</v>
      </c>
      <c r="I958" s="4">
        <v>25</v>
      </c>
      <c r="J958" s="5">
        <v>5.62</v>
      </c>
      <c r="K958" s="4">
        <v>80</v>
      </c>
      <c r="L958" s="3">
        <f t="shared" si="42"/>
        <v>2418.9999999999995</v>
      </c>
      <c r="M958" s="3">
        <f t="shared" si="43"/>
        <v>60.114510858823138</v>
      </c>
      <c r="N958" s="3">
        <v>201.4</v>
      </c>
      <c r="O958" s="5">
        <f t="shared" si="44"/>
        <v>29.848317208948927</v>
      </c>
      <c r="P958" s="2" t="s">
        <v>69</v>
      </c>
    </row>
    <row r="959" spans="1:16" x14ac:dyDescent="0.2">
      <c r="A959" s="2" t="s">
        <v>1352</v>
      </c>
      <c r="B959" s="2" t="s">
        <v>1022</v>
      </c>
      <c r="C959" s="2" t="s">
        <v>100</v>
      </c>
      <c r="D959" s="2" t="s">
        <v>32</v>
      </c>
      <c r="E959" s="2" t="s">
        <v>107</v>
      </c>
      <c r="F959" s="2" t="s">
        <v>34</v>
      </c>
      <c r="G959" s="2" t="s">
        <v>44</v>
      </c>
      <c r="H959" s="3">
        <v>15394</v>
      </c>
      <c r="I959" s="4">
        <v>20</v>
      </c>
      <c r="J959" s="5">
        <v>4.25</v>
      </c>
      <c r="K959" s="4">
        <v>70</v>
      </c>
      <c r="L959" s="3">
        <f t="shared" si="42"/>
        <v>4618.2000000000007</v>
      </c>
      <c r="M959" s="3">
        <f t="shared" si="43"/>
        <v>66.727467929318465</v>
      </c>
      <c r="N959" s="3">
        <v>246.2</v>
      </c>
      <c r="O959" s="5">
        <f t="shared" si="44"/>
        <v>27.102952042777606</v>
      </c>
      <c r="P959" s="2" t="s">
        <v>36</v>
      </c>
    </row>
    <row r="960" spans="1:16" x14ac:dyDescent="0.2">
      <c r="A960" s="2" t="s">
        <v>1353</v>
      </c>
      <c r="B960" s="2" t="s">
        <v>775</v>
      </c>
      <c r="C960" s="2" t="s">
        <v>62</v>
      </c>
      <c r="D960" s="2" t="s">
        <v>63</v>
      </c>
      <c r="E960" s="2" t="s">
        <v>49</v>
      </c>
      <c r="F960" s="2" t="s">
        <v>21</v>
      </c>
      <c r="G960" s="2" t="s">
        <v>35</v>
      </c>
      <c r="H960" s="3">
        <v>10145</v>
      </c>
      <c r="I960" s="4">
        <v>25</v>
      </c>
      <c r="J960" s="5">
        <v>5.15</v>
      </c>
      <c r="K960" s="4">
        <v>85</v>
      </c>
      <c r="L960" s="3">
        <f t="shared" si="42"/>
        <v>1521.7500000000002</v>
      </c>
      <c r="M960" s="3">
        <f t="shared" si="43"/>
        <v>51.167142954988179</v>
      </c>
      <c r="N960" s="3">
        <v>166.8</v>
      </c>
      <c r="O960" s="5">
        <f t="shared" si="44"/>
        <v>30.675745176851425</v>
      </c>
      <c r="P960" s="2" t="s">
        <v>36</v>
      </c>
    </row>
    <row r="961" spans="1:16" x14ac:dyDescent="0.2">
      <c r="A961" s="2" t="s">
        <v>1354</v>
      </c>
      <c r="B961" s="2" t="s">
        <v>555</v>
      </c>
      <c r="C961" s="2" t="s">
        <v>53</v>
      </c>
      <c r="D961" s="2" t="s">
        <v>19</v>
      </c>
      <c r="E961" s="2" t="s">
        <v>114</v>
      </c>
      <c r="F961" s="2" t="s">
        <v>34</v>
      </c>
      <c r="G961" s="2" t="s">
        <v>35</v>
      </c>
      <c r="H961" s="3">
        <v>12159</v>
      </c>
      <c r="I961" s="4">
        <v>15</v>
      </c>
      <c r="J961" s="5">
        <v>4.62</v>
      </c>
      <c r="K961" s="4">
        <v>80</v>
      </c>
      <c r="L961" s="3">
        <f t="shared" si="42"/>
        <v>2431.7999999999993</v>
      </c>
      <c r="M961" s="3">
        <f t="shared" si="43"/>
        <v>75.010371630239774</v>
      </c>
      <c r="N961" s="3">
        <v>175.6</v>
      </c>
      <c r="O961" s="5">
        <f t="shared" si="44"/>
        <v>42.71661254569463</v>
      </c>
      <c r="P961" s="2" t="s">
        <v>36</v>
      </c>
    </row>
    <row r="962" spans="1:16" x14ac:dyDescent="0.2">
      <c r="A962" s="2" t="s">
        <v>1355</v>
      </c>
      <c r="B962" s="2" t="s">
        <v>592</v>
      </c>
      <c r="C962" s="2" t="s">
        <v>100</v>
      </c>
      <c r="D962" s="2" t="s">
        <v>32</v>
      </c>
      <c r="E962" s="2" t="s">
        <v>64</v>
      </c>
      <c r="F962" s="2" t="s">
        <v>28</v>
      </c>
      <c r="G962" s="2" t="s">
        <v>98</v>
      </c>
      <c r="H962" s="3">
        <v>11788</v>
      </c>
      <c r="I962" s="4">
        <v>20</v>
      </c>
      <c r="J962" s="5">
        <v>4.75</v>
      </c>
      <c r="K962" s="4">
        <v>80</v>
      </c>
      <c r="L962" s="3">
        <f t="shared" ref="L962:L1025" si="45">H962*(1-K962/100)</f>
        <v>2357.5999999999995</v>
      </c>
      <c r="M962" s="3">
        <f t="shared" ref="M962:M1025" si="46">PMT(J962/100/12, I962*12, -(H962*K962/100))</f>
        <v>60.941472993808944</v>
      </c>
      <c r="N962" s="3">
        <v>165</v>
      </c>
      <c r="O962" s="5">
        <f t="shared" ref="O962:O1025" si="47">IFERROR(M962/N962*100,0)</f>
        <v>36.934226056853902</v>
      </c>
      <c r="P962" s="2" t="s">
        <v>36</v>
      </c>
    </row>
    <row r="963" spans="1:16" x14ac:dyDescent="0.2">
      <c r="A963" s="2" t="s">
        <v>1356</v>
      </c>
      <c r="B963" s="2" t="s">
        <v>46</v>
      </c>
      <c r="C963" s="2" t="s">
        <v>72</v>
      </c>
      <c r="D963" s="2" t="s">
        <v>73</v>
      </c>
      <c r="E963" s="2" t="s">
        <v>41</v>
      </c>
      <c r="F963" s="2" t="s">
        <v>50</v>
      </c>
      <c r="G963" s="2" t="s">
        <v>35</v>
      </c>
      <c r="H963" s="3">
        <v>6711</v>
      </c>
      <c r="I963" s="4">
        <v>20</v>
      </c>
      <c r="J963" s="5">
        <v>4.8499999999999996</v>
      </c>
      <c r="K963" s="4">
        <v>85</v>
      </c>
      <c r="L963" s="3">
        <f t="shared" si="45"/>
        <v>1006.6500000000002</v>
      </c>
      <c r="M963" s="3">
        <f t="shared" si="46"/>
        <v>37.17511286321146</v>
      </c>
      <c r="N963" s="3">
        <v>100.5</v>
      </c>
      <c r="O963" s="5">
        <f t="shared" si="47"/>
        <v>36.990162052946729</v>
      </c>
      <c r="P963" s="2" t="s">
        <v>36</v>
      </c>
    </row>
    <row r="964" spans="1:16" x14ac:dyDescent="0.2">
      <c r="A964" s="2" t="s">
        <v>1357</v>
      </c>
      <c r="B964" s="2" t="s">
        <v>502</v>
      </c>
      <c r="C964" s="2" t="s">
        <v>84</v>
      </c>
      <c r="D964" s="2" t="s">
        <v>85</v>
      </c>
      <c r="E964" s="2" t="s">
        <v>156</v>
      </c>
      <c r="F964" s="2" t="s">
        <v>28</v>
      </c>
      <c r="G964" s="2" t="s">
        <v>44</v>
      </c>
      <c r="H964" s="3">
        <v>11058</v>
      </c>
      <c r="I964" s="4">
        <v>15</v>
      </c>
      <c r="J964" s="5">
        <v>4.3499999999999996</v>
      </c>
      <c r="K964" s="4">
        <v>80</v>
      </c>
      <c r="L964" s="3">
        <f t="shared" si="45"/>
        <v>2211.5999999999995</v>
      </c>
      <c r="M964" s="3">
        <f t="shared" si="46"/>
        <v>66.998163544398608</v>
      </c>
      <c r="N964" s="3">
        <v>175.8</v>
      </c>
      <c r="O964" s="5">
        <f t="shared" si="47"/>
        <v>38.110445702160753</v>
      </c>
      <c r="P964" s="2" t="s">
        <v>36</v>
      </c>
    </row>
    <row r="965" spans="1:16" x14ac:dyDescent="0.2">
      <c r="A965" s="2" t="s">
        <v>1358</v>
      </c>
      <c r="B965" s="2" t="s">
        <v>645</v>
      </c>
      <c r="C965" s="2" t="s">
        <v>72</v>
      </c>
      <c r="D965" s="2" t="s">
        <v>73</v>
      </c>
      <c r="E965" s="2" t="s">
        <v>41</v>
      </c>
      <c r="F965" s="2" t="s">
        <v>28</v>
      </c>
      <c r="G965" s="2" t="s">
        <v>98</v>
      </c>
      <c r="H965" s="3">
        <v>8838</v>
      </c>
      <c r="I965" s="4">
        <v>15</v>
      </c>
      <c r="J965" s="5">
        <v>4.9800000000000004</v>
      </c>
      <c r="K965" s="4">
        <v>75</v>
      </c>
      <c r="L965" s="3">
        <f t="shared" si="45"/>
        <v>2209.5</v>
      </c>
      <c r="M965" s="3">
        <f t="shared" si="46"/>
        <v>52.348723051308106</v>
      </c>
      <c r="N965" s="3">
        <v>112.1</v>
      </c>
      <c r="O965" s="5">
        <f t="shared" si="47"/>
        <v>46.698236441844877</v>
      </c>
      <c r="P965" s="2" t="s">
        <v>36</v>
      </c>
    </row>
    <row r="966" spans="1:16" x14ac:dyDescent="0.2">
      <c r="A966" s="2" t="s">
        <v>1359</v>
      </c>
      <c r="B966" s="2" t="s">
        <v>185</v>
      </c>
      <c r="C966" s="2" t="s">
        <v>72</v>
      </c>
      <c r="D966" s="2" t="s">
        <v>73</v>
      </c>
      <c r="E966" s="2" t="s">
        <v>33</v>
      </c>
      <c r="F966" s="2" t="s">
        <v>59</v>
      </c>
      <c r="G966" s="2" t="s">
        <v>22</v>
      </c>
      <c r="H966" s="3">
        <v>15152</v>
      </c>
      <c r="I966" s="4">
        <v>25</v>
      </c>
      <c r="J966" s="5">
        <v>3.98</v>
      </c>
      <c r="K966" s="4">
        <v>90</v>
      </c>
      <c r="L966" s="3">
        <f t="shared" si="45"/>
        <v>1515.1999999999996</v>
      </c>
      <c r="M966" s="3">
        <f t="shared" si="46"/>
        <v>71.829547264982693</v>
      </c>
      <c r="N966" s="3">
        <v>179</v>
      </c>
      <c r="O966" s="5">
        <f t="shared" si="47"/>
        <v>40.128238695521055</v>
      </c>
      <c r="P966" s="2" t="s">
        <v>36</v>
      </c>
    </row>
    <row r="967" spans="1:16" x14ac:dyDescent="0.2">
      <c r="A967" s="2" t="s">
        <v>1360</v>
      </c>
      <c r="B967" s="2" t="s">
        <v>174</v>
      </c>
      <c r="C967" s="2" t="s">
        <v>39</v>
      </c>
      <c r="D967" s="2" t="s">
        <v>40</v>
      </c>
      <c r="E967" s="2" t="s">
        <v>68</v>
      </c>
      <c r="F967" s="2" t="s">
        <v>50</v>
      </c>
      <c r="G967" s="2" t="s">
        <v>98</v>
      </c>
      <c r="H967" s="3">
        <v>14914</v>
      </c>
      <c r="I967" s="4">
        <v>30</v>
      </c>
      <c r="J967" s="5">
        <v>5.12</v>
      </c>
      <c r="K967" s="4">
        <v>85</v>
      </c>
      <c r="L967" s="3">
        <f t="shared" si="45"/>
        <v>2237.1000000000004</v>
      </c>
      <c r="M967" s="3">
        <f t="shared" si="46"/>
        <v>68.985074263067602</v>
      </c>
      <c r="N967" s="3">
        <v>171.1</v>
      </c>
      <c r="O967" s="5">
        <f t="shared" si="47"/>
        <v>40.318570580401875</v>
      </c>
      <c r="P967" s="2" t="s">
        <v>36</v>
      </c>
    </row>
    <row r="968" spans="1:16" x14ac:dyDescent="0.2">
      <c r="A968" s="2" t="s">
        <v>1361</v>
      </c>
      <c r="B968" s="2" t="s">
        <v>1018</v>
      </c>
      <c r="C968" s="2" t="s">
        <v>153</v>
      </c>
      <c r="D968" s="2" t="s">
        <v>19</v>
      </c>
      <c r="E968" s="2" t="s">
        <v>74</v>
      </c>
      <c r="F968" s="2" t="s">
        <v>50</v>
      </c>
      <c r="G968" s="2" t="s">
        <v>98</v>
      </c>
      <c r="H968" s="3">
        <v>6867</v>
      </c>
      <c r="I968" s="4">
        <v>15</v>
      </c>
      <c r="J968" s="5">
        <v>5.66</v>
      </c>
      <c r="K968" s="4">
        <v>80</v>
      </c>
      <c r="L968" s="3">
        <f t="shared" si="45"/>
        <v>1373.3999999999996</v>
      </c>
      <c r="M968" s="3">
        <f t="shared" si="46"/>
        <v>45.355085859194979</v>
      </c>
      <c r="N968" s="3">
        <v>114.7</v>
      </c>
      <c r="O968" s="5">
        <f t="shared" si="47"/>
        <v>39.542359075148191</v>
      </c>
      <c r="P968" s="2" t="s">
        <v>36</v>
      </c>
    </row>
    <row r="969" spans="1:16" x14ac:dyDescent="0.2">
      <c r="A969" s="2" t="s">
        <v>1362</v>
      </c>
      <c r="B969" s="2" t="s">
        <v>967</v>
      </c>
      <c r="C969" s="2" t="s">
        <v>77</v>
      </c>
      <c r="D969" s="2" t="s">
        <v>19</v>
      </c>
      <c r="E969" s="2" t="s">
        <v>49</v>
      </c>
      <c r="F969" s="2" t="s">
        <v>34</v>
      </c>
      <c r="G969" s="2" t="s">
        <v>35</v>
      </c>
      <c r="H969" s="3">
        <v>12678</v>
      </c>
      <c r="I969" s="4">
        <v>25</v>
      </c>
      <c r="J969" s="5">
        <v>4.4800000000000004</v>
      </c>
      <c r="K969" s="4">
        <v>90</v>
      </c>
      <c r="L969" s="3">
        <f t="shared" si="45"/>
        <v>1267.7999999999997</v>
      </c>
      <c r="M969" s="3">
        <f t="shared" si="46"/>
        <v>63.292137725027679</v>
      </c>
      <c r="N969" s="3">
        <v>208.4</v>
      </c>
      <c r="O969" s="5">
        <f t="shared" si="47"/>
        <v>30.370507545598695</v>
      </c>
      <c r="P969" s="2" t="s">
        <v>36</v>
      </c>
    </row>
    <row r="970" spans="1:16" x14ac:dyDescent="0.2">
      <c r="A970" s="2" t="s">
        <v>1363</v>
      </c>
      <c r="B970" s="2" t="s">
        <v>113</v>
      </c>
      <c r="C970" s="2" t="s">
        <v>56</v>
      </c>
      <c r="D970" s="2" t="s">
        <v>57</v>
      </c>
      <c r="E970" s="2" t="s">
        <v>74</v>
      </c>
      <c r="F970" s="2" t="s">
        <v>50</v>
      </c>
      <c r="G970" s="2" t="s">
        <v>35</v>
      </c>
      <c r="H970" s="3">
        <v>12675</v>
      </c>
      <c r="I970" s="4">
        <v>20</v>
      </c>
      <c r="J970" s="5">
        <v>5.19</v>
      </c>
      <c r="K970" s="4">
        <v>85</v>
      </c>
      <c r="L970" s="3">
        <f t="shared" si="45"/>
        <v>1901.2500000000002</v>
      </c>
      <c r="M970" s="3">
        <f t="shared" si="46"/>
        <v>72.237646037491544</v>
      </c>
      <c r="N970" s="3">
        <v>184.4</v>
      </c>
      <c r="O970" s="5">
        <f t="shared" si="47"/>
        <v>39.174428436817536</v>
      </c>
      <c r="P970" s="2" t="s">
        <v>69</v>
      </c>
    </row>
    <row r="971" spans="1:16" x14ac:dyDescent="0.2">
      <c r="A971" s="2" t="s">
        <v>1364</v>
      </c>
      <c r="B971" s="2" t="s">
        <v>1160</v>
      </c>
      <c r="C971" s="2" t="s">
        <v>56</v>
      </c>
      <c r="D971" s="2" t="s">
        <v>57</v>
      </c>
      <c r="E971" s="2" t="s">
        <v>88</v>
      </c>
      <c r="F971" s="2" t="s">
        <v>21</v>
      </c>
      <c r="G971" s="2" t="s">
        <v>98</v>
      </c>
      <c r="H971" s="3">
        <v>1971</v>
      </c>
      <c r="I971" s="4">
        <v>20</v>
      </c>
      <c r="J971" s="5">
        <v>5.22</v>
      </c>
      <c r="K971" s="4">
        <v>90</v>
      </c>
      <c r="L971" s="3">
        <f t="shared" si="45"/>
        <v>197.09999999999997</v>
      </c>
      <c r="M971" s="3">
        <f t="shared" si="46"/>
        <v>11.923612172194748</v>
      </c>
      <c r="N971" s="3">
        <v>24.9</v>
      </c>
      <c r="O971" s="5">
        <f t="shared" si="47"/>
        <v>47.885992659416658</v>
      </c>
      <c r="P971" s="2" t="s">
        <v>36</v>
      </c>
    </row>
    <row r="972" spans="1:16" x14ac:dyDescent="0.2">
      <c r="A972" s="2" t="s">
        <v>1365</v>
      </c>
      <c r="B972" s="2" t="s">
        <v>162</v>
      </c>
      <c r="C972" s="2" t="s">
        <v>56</v>
      </c>
      <c r="D972" s="2" t="s">
        <v>57</v>
      </c>
      <c r="E972" s="2" t="s">
        <v>97</v>
      </c>
      <c r="F972" s="2" t="s">
        <v>50</v>
      </c>
      <c r="G972" s="2" t="s">
        <v>35</v>
      </c>
      <c r="H972" s="3">
        <v>9864</v>
      </c>
      <c r="I972" s="4">
        <v>30</v>
      </c>
      <c r="J972" s="5">
        <v>5.48</v>
      </c>
      <c r="K972" s="4">
        <v>80</v>
      </c>
      <c r="L972" s="3">
        <f t="shared" si="45"/>
        <v>1972.7999999999995</v>
      </c>
      <c r="M972" s="3">
        <f t="shared" si="46"/>
        <v>44.706394787084392</v>
      </c>
      <c r="N972" s="3">
        <v>167.9</v>
      </c>
      <c r="O972" s="5">
        <f t="shared" si="47"/>
        <v>26.626798562885284</v>
      </c>
      <c r="P972" s="2" t="s">
        <v>29</v>
      </c>
    </row>
    <row r="973" spans="1:16" x14ac:dyDescent="0.2">
      <c r="A973" s="2" t="s">
        <v>1366</v>
      </c>
      <c r="B973" s="2" t="s">
        <v>461</v>
      </c>
      <c r="C973" s="2" t="s">
        <v>153</v>
      </c>
      <c r="D973" s="2" t="s">
        <v>19</v>
      </c>
      <c r="E973" s="2" t="s">
        <v>58</v>
      </c>
      <c r="F973" s="2" t="s">
        <v>34</v>
      </c>
      <c r="G973" s="2" t="s">
        <v>44</v>
      </c>
      <c r="H973" s="3">
        <v>2430</v>
      </c>
      <c r="I973" s="4">
        <v>25</v>
      </c>
      <c r="J973" s="5">
        <v>5.12</v>
      </c>
      <c r="K973" s="4">
        <v>70</v>
      </c>
      <c r="L973" s="3">
        <f t="shared" si="45"/>
        <v>729.00000000000011</v>
      </c>
      <c r="M973" s="3">
        <f t="shared" si="46"/>
        <v>10.063163860233313</v>
      </c>
      <c r="N973" s="3">
        <v>41</v>
      </c>
      <c r="O973" s="5">
        <f t="shared" si="47"/>
        <v>24.544302098130032</v>
      </c>
      <c r="P973" s="2" t="s">
        <v>69</v>
      </c>
    </row>
    <row r="974" spans="1:16" x14ac:dyDescent="0.2">
      <c r="A974" s="2" t="s">
        <v>1367</v>
      </c>
      <c r="B974" s="2" t="s">
        <v>943</v>
      </c>
      <c r="C974" s="2" t="s">
        <v>53</v>
      </c>
      <c r="D974" s="2" t="s">
        <v>19</v>
      </c>
      <c r="E974" s="2" t="s">
        <v>114</v>
      </c>
      <c r="F974" s="2" t="s">
        <v>50</v>
      </c>
      <c r="G974" s="2" t="s">
        <v>35</v>
      </c>
      <c r="H974" s="3">
        <v>2219</v>
      </c>
      <c r="I974" s="4">
        <v>30</v>
      </c>
      <c r="J974" s="5">
        <v>4.7699999999999996</v>
      </c>
      <c r="K974" s="4">
        <v>75</v>
      </c>
      <c r="L974" s="3">
        <f t="shared" si="45"/>
        <v>554.75</v>
      </c>
      <c r="M974" s="3">
        <f t="shared" si="46"/>
        <v>8.7015898184824838</v>
      </c>
      <c r="N974" s="3">
        <v>24.5</v>
      </c>
      <c r="O974" s="5">
        <f t="shared" si="47"/>
        <v>35.5166931366632</v>
      </c>
      <c r="P974" s="2" t="s">
        <v>36</v>
      </c>
    </row>
    <row r="975" spans="1:16" x14ac:dyDescent="0.2">
      <c r="A975" s="2" t="s">
        <v>1368</v>
      </c>
      <c r="B975" s="2" t="s">
        <v>459</v>
      </c>
      <c r="C975" s="2" t="s">
        <v>47</v>
      </c>
      <c r="D975" s="2" t="s">
        <v>48</v>
      </c>
      <c r="E975" s="2" t="s">
        <v>107</v>
      </c>
      <c r="F975" s="2" t="s">
        <v>50</v>
      </c>
      <c r="G975" s="2" t="s">
        <v>22</v>
      </c>
      <c r="H975" s="3">
        <v>3625</v>
      </c>
      <c r="I975" s="4">
        <v>25</v>
      </c>
      <c r="J975" s="5">
        <v>4.42</v>
      </c>
      <c r="K975" s="4">
        <v>80</v>
      </c>
      <c r="L975" s="3">
        <f t="shared" si="45"/>
        <v>724.99999999999989</v>
      </c>
      <c r="M975" s="3">
        <f t="shared" si="46"/>
        <v>15.987741273405547</v>
      </c>
      <c r="N975" s="3">
        <v>56.4</v>
      </c>
      <c r="O975" s="5">
        <f t="shared" si="47"/>
        <v>28.347058995399905</v>
      </c>
      <c r="P975" s="2" t="s">
        <v>36</v>
      </c>
    </row>
    <row r="976" spans="1:16" x14ac:dyDescent="0.2">
      <c r="A976" s="2" t="s">
        <v>1369</v>
      </c>
      <c r="B976" s="2" t="s">
        <v>450</v>
      </c>
      <c r="C976" s="2" t="s">
        <v>47</v>
      </c>
      <c r="D976" s="2" t="s">
        <v>48</v>
      </c>
      <c r="E976" s="2" t="s">
        <v>156</v>
      </c>
      <c r="F976" s="2" t="s">
        <v>28</v>
      </c>
      <c r="G976" s="2" t="s">
        <v>44</v>
      </c>
      <c r="H976" s="3">
        <v>7627</v>
      </c>
      <c r="I976" s="4">
        <v>15</v>
      </c>
      <c r="J976" s="5">
        <v>4.1399999999999997</v>
      </c>
      <c r="K976" s="4">
        <v>80</v>
      </c>
      <c r="L976" s="3">
        <f t="shared" si="45"/>
        <v>1525.3999999999996</v>
      </c>
      <c r="M976" s="3">
        <f t="shared" si="46"/>
        <v>45.5620649410684</v>
      </c>
      <c r="N976" s="3">
        <v>119</v>
      </c>
      <c r="O976" s="5">
        <f t="shared" si="47"/>
        <v>38.28744953030958</v>
      </c>
      <c r="P976" s="2" t="s">
        <v>36</v>
      </c>
    </row>
    <row r="977" spans="1:16" x14ac:dyDescent="0.2">
      <c r="A977" s="2" t="s">
        <v>1370</v>
      </c>
      <c r="B977" s="2" t="s">
        <v>645</v>
      </c>
      <c r="C977" s="2" t="s">
        <v>91</v>
      </c>
      <c r="D977" s="2" t="s">
        <v>92</v>
      </c>
      <c r="E977" s="2" t="s">
        <v>58</v>
      </c>
      <c r="F977" s="2" t="s">
        <v>34</v>
      </c>
      <c r="G977" s="2" t="s">
        <v>98</v>
      </c>
      <c r="H977" s="3">
        <v>8383</v>
      </c>
      <c r="I977" s="4">
        <v>30</v>
      </c>
      <c r="J977" s="5">
        <v>4.99</v>
      </c>
      <c r="K977" s="4">
        <v>80</v>
      </c>
      <c r="L977" s="3">
        <f t="shared" si="45"/>
        <v>1676.5999999999997</v>
      </c>
      <c r="M977" s="3">
        <f t="shared" si="46"/>
        <v>35.960429813574308</v>
      </c>
      <c r="N977" s="3">
        <v>138.6</v>
      </c>
      <c r="O977" s="5">
        <f t="shared" si="47"/>
        <v>25.94547605596992</v>
      </c>
      <c r="P977" s="2" t="s">
        <v>36</v>
      </c>
    </row>
    <row r="978" spans="1:16" x14ac:dyDescent="0.2">
      <c r="A978" s="2" t="s">
        <v>1371</v>
      </c>
      <c r="B978" s="2" t="s">
        <v>325</v>
      </c>
      <c r="C978" s="2" t="s">
        <v>131</v>
      </c>
      <c r="D978" s="2" t="s">
        <v>27</v>
      </c>
      <c r="E978" s="2" t="s">
        <v>33</v>
      </c>
      <c r="F978" s="2" t="s">
        <v>21</v>
      </c>
      <c r="G978" s="2" t="s">
        <v>35</v>
      </c>
      <c r="H978" s="3">
        <v>5661</v>
      </c>
      <c r="I978" s="4">
        <v>30</v>
      </c>
      <c r="J978" s="5">
        <v>4.7</v>
      </c>
      <c r="K978" s="4">
        <v>80</v>
      </c>
      <c r="L978" s="3">
        <f t="shared" si="45"/>
        <v>1132.1999999999998</v>
      </c>
      <c r="M978" s="3">
        <f t="shared" si="46"/>
        <v>23.488069113887654</v>
      </c>
      <c r="N978" s="3">
        <v>68.900000000000006</v>
      </c>
      <c r="O978" s="5">
        <f t="shared" si="47"/>
        <v>34.090085796643912</v>
      </c>
      <c r="P978" s="2" t="s">
        <v>36</v>
      </c>
    </row>
    <row r="979" spans="1:16" x14ac:dyDescent="0.2">
      <c r="A979" s="2" t="s">
        <v>1372</v>
      </c>
      <c r="B979" s="2" t="s">
        <v>562</v>
      </c>
      <c r="C979" s="2" t="s">
        <v>62</v>
      </c>
      <c r="D979" s="2" t="s">
        <v>63</v>
      </c>
      <c r="E979" s="2" t="s">
        <v>41</v>
      </c>
      <c r="F979" s="2" t="s">
        <v>21</v>
      </c>
      <c r="G979" s="2" t="s">
        <v>44</v>
      </c>
      <c r="H979" s="3">
        <v>17450</v>
      </c>
      <c r="I979" s="4">
        <v>25</v>
      </c>
      <c r="J979" s="5">
        <v>4.28</v>
      </c>
      <c r="K979" s="4">
        <v>80</v>
      </c>
      <c r="L979" s="3">
        <f t="shared" si="45"/>
        <v>3489.9999999999991</v>
      </c>
      <c r="M979" s="3">
        <f t="shared" si="46"/>
        <v>75.861331510920778</v>
      </c>
      <c r="N979" s="3">
        <v>223.2</v>
      </c>
      <c r="O979" s="5">
        <f t="shared" si="47"/>
        <v>33.988051752204655</v>
      </c>
      <c r="P979" s="2" t="s">
        <v>36</v>
      </c>
    </row>
    <row r="980" spans="1:16" x14ac:dyDescent="0.2">
      <c r="A980" s="2" t="s">
        <v>1373</v>
      </c>
      <c r="B980" s="2" t="s">
        <v>765</v>
      </c>
      <c r="C980" s="2" t="s">
        <v>119</v>
      </c>
      <c r="D980" s="2" t="s">
        <v>120</v>
      </c>
      <c r="E980" s="2" t="s">
        <v>41</v>
      </c>
      <c r="F980" s="2" t="s">
        <v>34</v>
      </c>
      <c r="G980" s="2" t="s">
        <v>98</v>
      </c>
      <c r="H980" s="3">
        <v>4407</v>
      </c>
      <c r="I980" s="4">
        <v>20</v>
      </c>
      <c r="J980" s="5">
        <v>4.4800000000000004</v>
      </c>
      <c r="K980" s="4">
        <v>90</v>
      </c>
      <c r="L980" s="3">
        <f t="shared" si="45"/>
        <v>440.69999999999987</v>
      </c>
      <c r="M980" s="3">
        <f t="shared" si="46"/>
        <v>25.049972829946771</v>
      </c>
      <c r="N980" s="3">
        <v>65</v>
      </c>
      <c r="O980" s="5">
        <f t="shared" si="47"/>
        <v>38.538419738379645</v>
      </c>
      <c r="P980" s="2" t="s">
        <v>29</v>
      </c>
    </row>
    <row r="981" spans="1:16" x14ac:dyDescent="0.2">
      <c r="A981" s="2" t="s">
        <v>1374</v>
      </c>
      <c r="B981" s="2" t="s">
        <v>418</v>
      </c>
      <c r="C981" s="2" t="s">
        <v>153</v>
      </c>
      <c r="D981" s="2" t="s">
        <v>19</v>
      </c>
      <c r="E981" s="2" t="s">
        <v>107</v>
      </c>
      <c r="F981" s="2" t="s">
        <v>50</v>
      </c>
      <c r="G981" s="2" t="s">
        <v>35</v>
      </c>
      <c r="H981" s="3">
        <v>8151</v>
      </c>
      <c r="I981" s="4">
        <v>20</v>
      </c>
      <c r="J981" s="5">
        <v>4.37</v>
      </c>
      <c r="K981" s="4">
        <v>80</v>
      </c>
      <c r="L981" s="3">
        <f t="shared" si="45"/>
        <v>1630.1999999999996</v>
      </c>
      <c r="M981" s="3">
        <f t="shared" si="46"/>
        <v>40.797623008767253</v>
      </c>
      <c r="N981" s="3">
        <v>106.6</v>
      </c>
      <c r="O981" s="5">
        <f t="shared" si="47"/>
        <v>38.27169137783045</v>
      </c>
      <c r="P981" s="2" t="s">
        <v>29</v>
      </c>
    </row>
    <row r="982" spans="1:16" x14ac:dyDescent="0.2">
      <c r="A982" s="2" t="s">
        <v>1375</v>
      </c>
      <c r="B982" s="2" t="s">
        <v>305</v>
      </c>
      <c r="C982" s="2" t="s">
        <v>131</v>
      </c>
      <c r="D982" s="2" t="s">
        <v>27</v>
      </c>
      <c r="E982" s="2" t="s">
        <v>20</v>
      </c>
      <c r="F982" s="2" t="s">
        <v>21</v>
      </c>
      <c r="G982" s="2" t="s">
        <v>44</v>
      </c>
      <c r="H982" s="3">
        <v>5578</v>
      </c>
      <c r="I982" s="4">
        <v>25</v>
      </c>
      <c r="J982" s="5">
        <v>5.79</v>
      </c>
      <c r="K982" s="4">
        <v>80</v>
      </c>
      <c r="L982" s="3">
        <f t="shared" si="45"/>
        <v>1115.5999999999997</v>
      </c>
      <c r="M982" s="3">
        <f t="shared" si="46"/>
        <v>28.181209493379093</v>
      </c>
      <c r="N982" s="3">
        <v>65.900000000000006</v>
      </c>
      <c r="O982" s="5">
        <f t="shared" si="47"/>
        <v>42.763595589346117</v>
      </c>
      <c r="P982" s="2" t="s">
        <v>69</v>
      </c>
    </row>
    <row r="983" spans="1:16" x14ac:dyDescent="0.2">
      <c r="A983" s="2" t="s">
        <v>1376</v>
      </c>
      <c r="B983" s="2" t="s">
        <v>342</v>
      </c>
      <c r="C983" s="2" t="s">
        <v>131</v>
      </c>
      <c r="D983" s="2" t="s">
        <v>27</v>
      </c>
      <c r="E983" s="2" t="s">
        <v>49</v>
      </c>
      <c r="F983" s="2" t="s">
        <v>50</v>
      </c>
      <c r="G983" s="2" t="s">
        <v>98</v>
      </c>
      <c r="H983" s="3">
        <v>4746</v>
      </c>
      <c r="I983" s="4">
        <v>30</v>
      </c>
      <c r="J983" s="5">
        <v>4.72</v>
      </c>
      <c r="K983" s="4">
        <v>80</v>
      </c>
      <c r="L983" s="3">
        <f t="shared" si="45"/>
        <v>949.19999999999982</v>
      </c>
      <c r="M983" s="3">
        <f t="shared" si="46"/>
        <v>19.737307867208365</v>
      </c>
      <c r="N983" s="3">
        <v>78.2</v>
      </c>
      <c r="O983" s="5">
        <f t="shared" si="47"/>
        <v>25.239524126864914</v>
      </c>
      <c r="P983" s="2" t="s">
        <v>36</v>
      </c>
    </row>
    <row r="984" spans="1:16" x14ac:dyDescent="0.2">
      <c r="A984" s="2" t="s">
        <v>1377</v>
      </c>
      <c r="B984" s="2" t="s">
        <v>655</v>
      </c>
      <c r="C984" s="2" t="s">
        <v>72</v>
      </c>
      <c r="D984" s="2" t="s">
        <v>73</v>
      </c>
      <c r="E984" s="2" t="s">
        <v>88</v>
      </c>
      <c r="F984" s="2" t="s">
        <v>28</v>
      </c>
      <c r="G984" s="2" t="s">
        <v>35</v>
      </c>
      <c r="H984" s="3">
        <v>13978</v>
      </c>
      <c r="I984" s="4">
        <v>30</v>
      </c>
      <c r="J984" s="5">
        <v>5.34</v>
      </c>
      <c r="K984" s="4">
        <v>80</v>
      </c>
      <c r="L984" s="3">
        <f t="shared" si="45"/>
        <v>2795.5999999999995</v>
      </c>
      <c r="M984" s="3">
        <f t="shared" si="46"/>
        <v>62.374447695669623</v>
      </c>
      <c r="N984" s="3">
        <v>158.69999999999999</v>
      </c>
      <c r="O984" s="5">
        <f t="shared" si="47"/>
        <v>39.303369688512682</v>
      </c>
      <c r="P984" s="2" t="s">
        <v>36</v>
      </c>
    </row>
    <row r="985" spans="1:16" x14ac:dyDescent="0.2">
      <c r="A985" s="2" t="s">
        <v>1378</v>
      </c>
      <c r="B985" s="2" t="s">
        <v>830</v>
      </c>
      <c r="C985" s="2" t="s">
        <v>67</v>
      </c>
      <c r="D985" s="2" t="s">
        <v>67</v>
      </c>
      <c r="E985" s="2" t="s">
        <v>33</v>
      </c>
      <c r="F985" s="2" t="s">
        <v>59</v>
      </c>
      <c r="G985" s="2" t="s">
        <v>35</v>
      </c>
      <c r="H985" s="3">
        <v>8449</v>
      </c>
      <c r="I985" s="4">
        <v>20</v>
      </c>
      <c r="J985" s="5">
        <v>4.8499999999999996</v>
      </c>
      <c r="K985" s="4">
        <v>90</v>
      </c>
      <c r="L985" s="3">
        <f t="shared" si="45"/>
        <v>844.89999999999986</v>
      </c>
      <c r="M985" s="3">
        <f t="shared" si="46"/>
        <v>49.555738291504952</v>
      </c>
      <c r="N985" s="3">
        <v>102.3</v>
      </c>
      <c r="O985" s="5">
        <f t="shared" si="47"/>
        <v>48.441581907629477</v>
      </c>
      <c r="P985" s="2" t="s">
        <v>36</v>
      </c>
    </row>
    <row r="986" spans="1:16" x14ac:dyDescent="0.2">
      <c r="A986" s="2" t="s">
        <v>1379</v>
      </c>
      <c r="B986" s="2" t="s">
        <v>230</v>
      </c>
      <c r="C986" s="2" t="s">
        <v>175</v>
      </c>
      <c r="D986" s="2" t="s">
        <v>176</v>
      </c>
      <c r="E986" s="2" t="s">
        <v>88</v>
      </c>
      <c r="F986" s="2" t="s">
        <v>50</v>
      </c>
      <c r="G986" s="2" t="s">
        <v>44</v>
      </c>
      <c r="H986" s="3">
        <v>2628</v>
      </c>
      <c r="I986" s="4">
        <v>20</v>
      </c>
      <c r="J986" s="5">
        <v>5.36</v>
      </c>
      <c r="K986" s="4">
        <v>80</v>
      </c>
      <c r="L986" s="3">
        <f t="shared" si="45"/>
        <v>525.59999999999991</v>
      </c>
      <c r="M986" s="3">
        <f t="shared" si="46"/>
        <v>14.296407974747652</v>
      </c>
      <c r="N986" s="3">
        <v>41.2</v>
      </c>
      <c r="O986" s="5">
        <f t="shared" si="47"/>
        <v>34.700019356183617</v>
      </c>
      <c r="P986" s="2" t="s">
        <v>36</v>
      </c>
    </row>
    <row r="987" spans="1:16" x14ac:dyDescent="0.2">
      <c r="A987" s="2" t="s">
        <v>1380</v>
      </c>
      <c r="B987" s="2" t="s">
        <v>995</v>
      </c>
      <c r="C987" s="2" t="s">
        <v>131</v>
      </c>
      <c r="D987" s="2" t="s">
        <v>27</v>
      </c>
      <c r="E987" s="2" t="s">
        <v>107</v>
      </c>
      <c r="F987" s="2" t="s">
        <v>28</v>
      </c>
      <c r="G987" s="2" t="s">
        <v>98</v>
      </c>
      <c r="H987" s="3">
        <v>8664</v>
      </c>
      <c r="I987" s="4">
        <v>15</v>
      </c>
      <c r="J987" s="5">
        <v>4.46</v>
      </c>
      <c r="K987" s="4">
        <v>80</v>
      </c>
      <c r="L987" s="3">
        <f t="shared" si="45"/>
        <v>1732.7999999999997</v>
      </c>
      <c r="M987" s="3">
        <f t="shared" si="46"/>
        <v>52.881630273959772</v>
      </c>
      <c r="N987" s="3">
        <v>104.6</v>
      </c>
      <c r="O987" s="5">
        <f t="shared" si="47"/>
        <v>50.556051887150829</v>
      </c>
      <c r="P987" s="2" t="s">
        <v>36</v>
      </c>
    </row>
    <row r="988" spans="1:16" x14ac:dyDescent="0.2">
      <c r="A988" s="2" t="s">
        <v>1381</v>
      </c>
      <c r="B988" s="2" t="s">
        <v>346</v>
      </c>
      <c r="C988" s="2" t="s">
        <v>153</v>
      </c>
      <c r="D988" s="2" t="s">
        <v>19</v>
      </c>
      <c r="E988" s="2" t="s">
        <v>81</v>
      </c>
      <c r="F988" s="2" t="s">
        <v>59</v>
      </c>
      <c r="G988" s="2" t="s">
        <v>22</v>
      </c>
      <c r="H988" s="3">
        <v>12775</v>
      </c>
      <c r="I988" s="4">
        <v>20</v>
      </c>
      <c r="J988" s="5">
        <v>4.4000000000000004</v>
      </c>
      <c r="K988" s="4">
        <v>85</v>
      </c>
      <c r="L988" s="3">
        <f t="shared" si="45"/>
        <v>1916.2500000000002</v>
      </c>
      <c r="M988" s="3">
        <f t="shared" si="46"/>
        <v>68.113052509591483</v>
      </c>
      <c r="N988" s="3">
        <v>216</v>
      </c>
      <c r="O988" s="5">
        <f t="shared" si="47"/>
        <v>31.533820606292352</v>
      </c>
      <c r="P988" s="2" t="s">
        <v>36</v>
      </c>
    </row>
    <row r="989" spans="1:16" x14ac:dyDescent="0.2">
      <c r="A989" s="2" t="s">
        <v>1382</v>
      </c>
      <c r="B989" s="2" t="s">
        <v>25</v>
      </c>
      <c r="C989" s="2" t="s">
        <v>84</v>
      </c>
      <c r="D989" s="2" t="s">
        <v>85</v>
      </c>
      <c r="E989" s="2" t="s">
        <v>20</v>
      </c>
      <c r="F989" s="2" t="s">
        <v>34</v>
      </c>
      <c r="G989" s="2" t="s">
        <v>98</v>
      </c>
      <c r="H989" s="3">
        <v>9239</v>
      </c>
      <c r="I989" s="4">
        <v>30</v>
      </c>
      <c r="J989" s="5">
        <v>4.5599999999999996</v>
      </c>
      <c r="K989" s="4">
        <v>80</v>
      </c>
      <c r="L989" s="3">
        <f t="shared" si="45"/>
        <v>1847.7999999999995</v>
      </c>
      <c r="M989" s="3">
        <f t="shared" si="46"/>
        <v>37.714086069696393</v>
      </c>
      <c r="N989" s="3">
        <v>105.7</v>
      </c>
      <c r="O989" s="5">
        <f t="shared" si="47"/>
        <v>35.680308485994694</v>
      </c>
      <c r="P989" s="2" t="s">
        <v>29</v>
      </c>
    </row>
    <row r="990" spans="1:16" x14ac:dyDescent="0.2">
      <c r="A990" s="2" t="s">
        <v>1383</v>
      </c>
      <c r="B990" s="2" t="s">
        <v>413</v>
      </c>
      <c r="C990" s="2" t="s">
        <v>67</v>
      </c>
      <c r="D990" s="2" t="s">
        <v>67</v>
      </c>
      <c r="E990" s="2" t="s">
        <v>78</v>
      </c>
      <c r="F990" s="2" t="s">
        <v>34</v>
      </c>
      <c r="G990" s="2" t="s">
        <v>22</v>
      </c>
      <c r="H990" s="3">
        <v>6642</v>
      </c>
      <c r="I990" s="4">
        <v>30</v>
      </c>
      <c r="J990" s="5">
        <v>5.75</v>
      </c>
      <c r="K990" s="4">
        <v>85</v>
      </c>
      <c r="L990" s="3">
        <f t="shared" si="45"/>
        <v>996.30000000000018</v>
      </c>
      <c r="M990" s="3">
        <f t="shared" si="46"/>
        <v>32.946772756233671</v>
      </c>
      <c r="N990" s="3">
        <v>78.400000000000006</v>
      </c>
      <c r="O990" s="5">
        <f t="shared" si="47"/>
        <v>42.023944842134782</v>
      </c>
      <c r="P990" s="2" t="s">
        <v>36</v>
      </c>
    </row>
    <row r="991" spans="1:16" x14ac:dyDescent="0.2">
      <c r="A991" s="2" t="s">
        <v>1384</v>
      </c>
      <c r="B991" s="2" t="s">
        <v>281</v>
      </c>
      <c r="C991" s="2" t="s">
        <v>91</v>
      </c>
      <c r="D991" s="2" t="s">
        <v>92</v>
      </c>
      <c r="E991" s="2" t="s">
        <v>49</v>
      </c>
      <c r="F991" s="2" t="s">
        <v>59</v>
      </c>
      <c r="G991" s="2" t="s">
        <v>35</v>
      </c>
      <c r="H991" s="3">
        <v>5305</v>
      </c>
      <c r="I991" s="4">
        <v>25</v>
      </c>
      <c r="J991" s="5">
        <v>5.55</v>
      </c>
      <c r="K991" s="4">
        <v>85</v>
      </c>
      <c r="L991" s="3">
        <f t="shared" si="45"/>
        <v>795.75000000000011</v>
      </c>
      <c r="M991" s="3">
        <f t="shared" si="46"/>
        <v>27.825546428889911</v>
      </c>
      <c r="N991" s="3">
        <v>90.1</v>
      </c>
      <c r="O991" s="5">
        <f t="shared" si="47"/>
        <v>30.882959410532646</v>
      </c>
      <c r="P991" s="2" t="s">
        <v>36</v>
      </c>
    </row>
    <row r="992" spans="1:16" x14ac:dyDescent="0.2">
      <c r="A992" s="2" t="s">
        <v>1385</v>
      </c>
      <c r="B992" s="2" t="s">
        <v>208</v>
      </c>
      <c r="C992" s="2" t="s">
        <v>26</v>
      </c>
      <c r="D992" s="2" t="s">
        <v>27</v>
      </c>
      <c r="E992" s="2" t="s">
        <v>20</v>
      </c>
      <c r="F992" s="2" t="s">
        <v>28</v>
      </c>
      <c r="G992" s="2" t="s">
        <v>35</v>
      </c>
      <c r="H992" s="3">
        <v>2457</v>
      </c>
      <c r="I992" s="4">
        <v>25</v>
      </c>
      <c r="J992" s="5">
        <v>4.45</v>
      </c>
      <c r="K992" s="4">
        <v>70</v>
      </c>
      <c r="L992" s="3">
        <f t="shared" si="45"/>
        <v>737.10000000000014</v>
      </c>
      <c r="M992" s="3">
        <f t="shared" si="46"/>
        <v>9.5110173670978853</v>
      </c>
      <c r="N992" s="3">
        <v>39</v>
      </c>
      <c r="O992" s="5">
        <f t="shared" si="47"/>
        <v>24.387224018199703</v>
      </c>
      <c r="P992" s="2" t="s">
        <v>36</v>
      </c>
    </row>
    <row r="993" spans="1:16" x14ac:dyDescent="0.2">
      <c r="A993" s="2" t="s">
        <v>1386</v>
      </c>
      <c r="B993" s="2" t="s">
        <v>634</v>
      </c>
      <c r="C993" s="2" t="s">
        <v>32</v>
      </c>
      <c r="D993" s="2" t="s">
        <v>32</v>
      </c>
      <c r="E993" s="2" t="s">
        <v>97</v>
      </c>
      <c r="F993" s="2" t="s">
        <v>34</v>
      </c>
      <c r="G993" s="2" t="s">
        <v>22</v>
      </c>
      <c r="H993" s="3">
        <v>3951</v>
      </c>
      <c r="I993" s="4">
        <v>15</v>
      </c>
      <c r="J993" s="5">
        <v>4.59</v>
      </c>
      <c r="K993" s="4">
        <v>75</v>
      </c>
      <c r="L993" s="3">
        <f t="shared" si="45"/>
        <v>987.75</v>
      </c>
      <c r="M993" s="3">
        <f t="shared" si="46"/>
        <v>22.805200846862679</v>
      </c>
      <c r="N993" s="3">
        <v>55.5</v>
      </c>
      <c r="O993" s="5">
        <f t="shared" si="47"/>
        <v>41.090451976329149</v>
      </c>
      <c r="P993" s="2" t="s">
        <v>36</v>
      </c>
    </row>
    <row r="994" spans="1:16" x14ac:dyDescent="0.2">
      <c r="A994" s="2" t="s">
        <v>1387</v>
      </c>
      <c r="B994" s="2" t="s">
        <v>706</v>
      </c>
      <c r="C994" s="2" t="s">
        <v>53</v>
      </c>
      <c r="D994" s="2" t="s">
        <v>19</v>
      </c>
      <c r="E994" s="2" t="s">
        <v>78</v>
      </c>
      <c r="F994" s="2" t="s">
        <v>59</v>
      </c>
      <c r="G994" s="2" t="s">
        <v>35</v>
      </c>
      <c r="H994" s="3">
        <v>3013</v>
      </c>
      <c r="I994" s="4">
        <v>20</v>
      </c>
      <c r="J994" s="5">
        <v>4.37</v>
      </c>
      <c r="K994" s="4">
        <v>80</v>
      </c>
      <c r="L994" s="3">
        <f t="shared" si="45"/>
        <v>602.59999999999991</v>
      </c>
      <c r="M994" s="3">
        <f t="shared" si="46"/>
        <v>15.080755505510457</v>
      </c>
      <c r="N994" s="3">
        <v>43.5</v>
      </c>
      <c r="O994" s="5">
        <f t="shared" si="47"/>
        <v>34.66840346094358</v>
      </c>
      <c r="P994" s="2" t="s">
        <v>69</v>
      </c>
    </row>
    <row r="995" spans="1:16" x14ac:dyDescent="0.2">
      <c r="A995" s="2" t="s">
        <v>1388</v>
      </c>
      <c r="B995" s="2" t="s">
        <v>724</v>
      </c>
      <c r="C995" s="2" t="s">
        <v>146</v>
      </c>
      <c r="D995" s="2" t="s">
        <v>19</v>
      </c>
      <c r="E995" s="2" t="s">
        <v>81</v>
      </c>
      <c r="F995" s="2" t="s">
        <v>59</v>
      </c>
      <c r="G995" s="2" t="s">
        <v>22</v>
      </c>
      <c r="H995" s="3">
        <v>5650</v>
      </c>
      <c r="I995" s="4">
        <v>20</v>
      </c>
      <c r="J995" s="5">
        <v>4.26</v>
      </c>
      <c r="K995" s="4">
        <v>80</v>
      </c>
      <c r="L995" s="3">
        <f t="shared" si="45"/>
        <v>1129.9999999999998</v>
      </c>
      <c r="M995" s="3">
        <f t="shared" si="46"/>
        <v>28.013513057118193</v>
      </c>
      <c r="N995" s="3">
        <v>80.599999999999994</v>
      </c>
      <c r="O995" s="5">
        <f t="shared" si="47"/>
        <v>34.756219673843916</v>
      </c>
      <c r="P995" s="2" t="s">
        <v>23</v>
      </c>
    </row>
    <row r="996" spans="1:16" x14ac:dyDescent="0.2">
      <c r="A996" s="2" t="s">
        <v>1389</v>
      </c>
      <c r="B996" s="2" t="s">
        <v>528</v>
      </c>
      <c r="C996" s="2" t="s">
        <v>62</v>
      </c>
      <c r="D996" s="2" t="s">
        <v>63</v>
      </c>
      <c r="E996" s="2" t="s">
        <v>156</v>
      </c>
      <c r="F996" s="2" t="s">
        <v>34</v>
      </c>
      <c r="G996" s="2" t="s">
        <v>98</v>
      </c>
      <c r="H996" s="3">
        <v>3979</v>
      </c>
      <c r="I996" s="4">
        <v>25</v>
      </c>
      <c r="J996" s="5">
        <v>4.3</v>
      </c>
      <c r="K996" s="4">
        <v>80</v>
      </c>
      <c r="L996" s="3">
        <f t="shared" si="45"/>
        <v>795.79999999999984</v>
      </c>
      <c r="M996" s="3">
        <f t="shared" si="46"/>
        <v>17.33384850084407</v>
      </c>
      <c r="N996" s="3">
        <v>48.2</v>
      </c>
      <c r="O996" s="5">
        <f t="shared" si="47"/>
        <v>35.962341288058234</v>
      </c>
      <c r="P996" s="2" t="s">
        <v>23</v>
      </c>
    </row>
    <row r="997" spans="1:16" x14ac:dyDescent="0.2">
      <c r="A997" s="2" t="s">
        <v>1390</v>
      </c>
      <c r="B997" s="2" t="s">
        <v>411</v>
      </c>
      <c r="C997" s="2" t="s">
        <v>72</v>
      </c>
      <c r="D997" s="2" t="s">
        <v>73</v>
      </c>
      <c r="E997" s="2" t="s">
        <v>41</v>
      </c>
      <c r="F997" s="2" t="s">
        <v>50</v>
      </c>
      <c r="G997" s="2" t="s">
        <v>22</v>
      </c>
      <c r="H997" s="3">
        <v>16202</v>
      </c>
      <c r="I997" s="4">
        <v>15</v>
      </c>
      <c r="J997" s="5">
        <v>4.12</v>
      </c>
      <c r="K997" s="4">
        <v>85</v>
      </c>
      <c r="L997" s="3">
        <f t="shared" si="45"/>
        <v>2430.3000000000002</v>
      </c>
      <c r="M997" s="3">
        <f t="shared" si="46"/>
        <v>102.69774216539015</v>
      </c>
      <c r="N997" s="3">
        <v>189.6</v>
      </c>
      <c r="O997" s="5">
        <f t="shared" si="47"/>
        <v>54.165475825627716</v>
      </c>
      <c r="P997" s="2" t="s">
        <v>36</v>
      </c>
    </row>
    <row r="998" spans="1:16" x14ac:dyDescent="0.2">
      <c r="A998" s="2" t="s">
        <v>1391</v>
      </c>
      <c r="B998" s="2" t="s">
        <v>1135</v>
      </c>
      <c r="C998" s="2" t="s">
        <v>153</v>
      </c>
      <c r="D998" s="2" t="s">
        <v>19</v>
      </c>
      <c r="E998" s="2" t="s">
        <v>74</v>
      </c>
      <c r="F998" s="2" t="s">
        <v>34</v>
      </c>
      <c r="G998" s="2" t="s">
        <v>44</v>
      </c>
      <c r="H998" s="3">
        <v>11466</v>
      </c>
      <c r="I998" s="4">
        <v>25</v>
      </c>
      <c r="J998" s="5">
        <v>4.4400000000000004</v>
      </c>
      <c r="K998" s="4">
        <v>85</v>
      </c>
      <c r="L998" s="3">
        <f t="shared" si="45"/>
        <v>1719.9000000000003</v>
      </c>
      <c r="M998" s="3">
        <f t="shared" si="46"/>
        <v>53.84060957661444</v>
      </c>
      <c r="N998" s="3">
        <v>165.4</v>
      </c>
      <c r="O998" s="5">
        <f t="shared" si="47"/>
        <v>32.551759115244522</v>
      </c>
      <c r="P998" s="2" t="s">
        <v>36</v>
      </c>
    </row>
    <row r="999" spans="1:16" x14ac:dyDescent="0.2">
      <c r="A999" s="2" t="s">
        <v>1392</v>
      </c>
      <c r="B999" s="2" t="s">
        <v>325</v>
      </c>
      <c r="C999" s="2" t="s">
        <v>131</v>
      </c>
      <c r="D999" s="2" t="s">
        <v>27</v>
      </c>
      <c r="E999" s="2" t="s">
        <v>20</v>
      </c>
      <c r="F999" s="2" t="s">
        <v>34</v>
      </c>
      <c r="G999" s="2" t="s">
        <v>98</v>
      </c>
      <c r="H999" s="3">
        <v>5458</v>
      </c>
      <c r="I999" s="4">
        <v>30</v>
      </c>
      <c r="J999" s="5">
        <v>4.54</v>
      </c>
      <c r="K999" s="4">
        <v>80</v>
      </c>
      <c r="L999" s="3">
        <f t="shared" si="45"/>
        <v>1091.5999999999997</v>
      </c>
      <c r="M999" s="3">
        <f t="shared" si="46"/>
        <v>22.227804968942536</v>
      </c>
      <c r="N999" s="3">
        <v>83.6</v>
      </c>
      <c r="O999" s="5">
        <f t="shared" si="47"/>
        <v>26.58828345567289</v>
      </c>
      <c r="P999" s="2" t="s">
        <v>36</v>
      </c>
    </row>
    <row r="1000" spans="1:16" x14ac:dyDescent="0.2">
      <c r="A1000" s="2" t="s">
        <v>1393</v>
      </c>
      <c r="B1000" s="2" t="s">
        <v>344</v>
      </c>
      <c r="C1000" s="2" t="s">
        <v>84</v>
      </c>
      <c r="D1000" s="2" t="s">
        <v>85</v>
      </c>
      <c r="E1000" s="2" t="s">
        <v>74</v>
      </c>
      <c r="F1000" s="2" t="s">
        <v>34</v>
      </c>
      <c r="G1000" s="2" t="s">
        <v>35</v>
      </c>
      <c r="H1000" s="3">
        <v>5796</v>
      </c>
      <c r="I1000" s="4">
        <v>20</v>
      </c>
      <c r="J1000" s="5">
        <v>3.98</v>
      </c>
      <c r="K1000" s="4">
        <v>85</v>
      </c>
      <c r="L1000" s="3">
        <f t="shared" si="45"/>
        <v>869.40000000000009</v>
      </c>
      <c r="M1000" s="3">
        <f t="shared" si="46"/>
        <v>29.802332812932523</v>
      </c>
      <c r="N1000" s="3">
        <v>81.8</v>
      </c>
      <c r="O1000" s="5">
        <f t="shared" si="47"/>
        <v>36.433169697961517</v>
      </c>
      <c r="P1000" s="2" t="s">
        <v>69</v>
      </c>
    </row>
    <row r="1001" spans="1:16" x14ac:dyDescent="0.2">
      <c r="A1001" s="2" t="s">
        <v>1394</v>
      </c>
      <c r="B1001" s="2" t="s">
        <v>1183</v>
      </c>
      <c r="C1001" s="2" t="s">
        <v>72</v>
      </c>
      <c r="D1001" s="2" t="s">
        <v>73</v>
      </c>
      <c r="E1001" s="2" t="s">
        <v>156</v>
      </c>
      <c r="F1001" s="2" t="s">
        <v>59</v>
      </c>
      <c r="G1001" s="2" t="s">
        <v>44</v>
      </c>
      <c r="H1001" s="3">
        <v>5977</v>
      </c>
      <c r="I1001" s="4">
        <v>25</v>
      </c>
      <c r="J1001" s="5">
        <v>5.14</v>
      </c>
      <c r="K1001" s="4">
        <v>85</v>
      </c>
      <c r="L1001" s="3">
        <f t="shared" si="45"/>
        <v>896.55000000000018</v>
      </c>
      <c r="M1001" s="3">
        <f t="shared" si="46"/>
        <v>30.115674614382719</v>
      </c>
      <c r="N1001" s="3">
        <v>102.5</v>
      </c>
      <c r="O1001" s="5">
        <f t="shared" si="47"/>
        <v>29.381145965251431</v>
      </c>
      <c r="P1001" s="2" t="s">
        <v>36</v>
      </c>
    </row>
    <row r="1002" spans="1:16" x14ac:dyDescent="0.2">
      <c r="A1002" s="2" t="s">
        <v>1395</v>
      </c>
      <c r="B1002" s="2" t="s">
        <v>476</v>
      </c>
      <c r="C1002" s="2" t="s">
        <v>47</v>
      </c>
      <c r="D1002" s="2" t="s">
        <v>48</v>
      </c>
      <c r="E1002" s="2" t="s">
        <v>78</v>
      </c>
      <c r="F1002" s="2" t="s">
        <v>50</v>
      </c>
      <c r="G1002" s="2" t="s">
        <v>44</v>
      </c>
      <c r="H1002" s="3">
        <v>12242</v>
      </c>
      <c r="I1002" s="4">
        <v>30</v>
      </c>
      <c r="J1002" s="5">
        <v>4.17</v>
      </c>
      <c r="K1002" s="4">
        <v>80</v>
      </c>
      <c r="L1002" s="3">
        <f t="shared" si="45"/>
        <v>2448.3999999999996</v>
      </c>
      <c r="M1002" s="3">
        <f t="shared" si="46"/>
        <v>47.721058974782643</v>
      </c>
      <c r="N1002" s="3">
        <v>199.7</v>
      </c>
      <c r="O1002" s="5">
        <f t="shared" si="47"/>
        <v>23.896374048464018</v>
      </c>
      <c r="P1002" s="2" t="s">
        <v>36</v>
      </c>
    </row>
    <row r="1003" spans="1:16" x14ac:dyDescent="0.2">
      <c r="A1003" s="2" t="s">
        <v>1396</v>
      </c>
      <c r="B1003" s="2" t="s">
        <v>358</v>
      </c>
      <c r="C1003" s="2" t="s">
        <v>53</v>
      </c>
      <c r="D1003" s="2" t="s">
        <v>19</v>
      </c>
      <c r="E1003" s="2" t="s">
        <v>114</v>
      </c>
      <c r="F1003" s="2" t="s">
        <v>59</v>
      </c>
      <c r="G1003" s="2" t="s">
        <v>44</v>
      </c>
      <c r="H1003" s="3">
        <v>1680</v>
      </c>
      <c r="I1003" s="4">
        <v>20</v>
      </c>
      <c r="J1003" s="5">
        <v>3.91</v>
      </c>
      <c r="K1003" s="4">
        <v>75</v>
      </c>
      <c r="L1003" s="3">
        <f t="shared" si="45"/>
        <v>420</v>
      </c>
      <c r="M1003" s="3">
        <f t="shared" si="46"/>
        <v>7.5757305753897768</v>
      </c>
      <c r="N1003" s="3">
        <v>22.7</v>
      </c>
      <c r="O1003" s="5">
        <f t="shared" si="47"/>
        <v>33.373262446650998</v>
      </c>
      <c r="P1003" s="2" t="s">
        <v>69</v>
      </c>
    </row>
    <row r="1004" spans="1:16" x14ac:dyDescent="0.2">
      <c r="A1004" s="2" t="s">
        <v>1397</v>
      </c>
      <c r="B1004" s="2" t="s">
        <v>390</v>
      </c>
      <c r="C1004" s="2" t="s">
        <v>146</v>
      </c>
      <c r="D1004" s="2" t="s">
        <v>19</v>
      </c>
      <c r="E1004" s="2" t="s">
        <v>81</v>
      </c>
      <c r="F1004" s="2" t="s">
        <v>21</v>
      </c>
      <c r="G1004" s="2" t="s">
        <v>35</v>
      </c>
      <c r="H1004" s="3">
        <v>8367</v>
      </c>
      <c r="I1004" s="4">
        <v>30</v>
      </c>
      <c r="J1004" s="5">
        <v>4.54</v>
      </c>
      <c r="K1004" s="4">
        <v>75</v>
      </c>
      <c r="L1004" s="3">
        <f t="shared" si="45"/>
        <v>2091.75</v>
      </c>
      <c r="M1004" s="3">
        <f t="shared" si="46"/>
        <v>31.945088203407082</v>
      </c>
      <c r="N1004" s="3">
        <v>93.1</v>
      </c>
      <c r="O1004" s="5">
        <f t="shared" si="47"/>
        <v>34.312661872617703</v>
      </c>
      <c r="P1004" s="2" t="s">
        <v>36</v>
      </c>
    </row>
    <row r="1005" spans="1:16" x14ac:dyDescent="0.2">
      <c r="A1005" s="2" t="s">
        <v>1398</v>
      </c>
      <c r="B1005" s="2" t="s">
        <v>532</v>
      </c>
      <c r="C1005" s="2" t="s">
        <v>67</v>
      </c>
      <c r="D1005" s="2" t="s">
        <v>67</v>
      </c>
      <c r="E1005" s="2" t="s">
        <v>78</v>
      </c>
      <c r="F1005" s="2" t="s">
        <v>34</v>
      </c>
      <c r="G1005" s="2" t="s">
        <v>35</v>
      </c>
      <c r="H1005" s="3">
        <v>13386</v>
      </c>
      <c r="I1005" s="4">
        <v>25</v>
      </c>
      <c r="J1005" s="5">
        <v>4.83</v>
      </c>
      <c r="K1005" s="4">
        <v>75</v>
      </c>
      <c r="L1005" s="3">
        <f t="shared" si="45"/>
        <v>3346.5</v>
      </c>
      <c r="M1005" s="3">
        <f t="shared" si="46"/>
        <v>57.699849597556742</v>
      </c>
      <c r="N1005" s="3">
        <v>177.1</v>
      </c>
      <c r="O1005" s="5">
        <f t="shared" si="47"/>
        <v>32.58037809009415</v>
      </c>
      <c r="P1005" s="2" t="s">
        <v>36</v>
      </c>
    </row>
    <row r="1006" spans="1:16" x14ac:dyDescent="0.2">
      <c r="A1006" s="2" t="s">
        <v>1399</v>
      </c>
      <c r="B1006" s="2" t="s">
        <v>1150</v>
      </c>
      <c r="C1006" s="2" t="s">
        <v>26</v>
      </c>
      <c r="D1006" s="2" t="s">
        <v>27</v>
      </c>
      <c r="E1006" s="2" t="s">
        <v>68</v>
      </c>
      <c r="F1006" s="2" t="s">
        <v>28</v>
      </c>
      <c r="G1006" s="2" t="s">
        <v>35</v>
      </c>
      <c r="H1006" s="3">
        <v>15455</v>
      </c>
      <c r="I1006" s="4">
        <v>30</v>
      </c>
      <c r="J1006" s="5">
        <v>4.93</v>
      </c>
      <c r="K1006" s="4">
        <v>80</v>
      </c>
      <c r="L1006" s="3">
        <f t="shared" si="45"/>
        <v>3090.9999999999991</v>
      </c>
      <c r="M1006" s="3">
        <f t="shared" si="46"/>
        <v>65.844690098932773</v>
      </c>
      <c r="N1006" s="3">
        <v>265.5</v>
      </c>
      <c r="O1006" s="5">
        <f t="shared" si="47"/>
        <v>24.800259924268463</v>
      </c>
      <c r="P1006" s="2" t="s">
        <v>29</v>
      </c>
    </row>
    <row r="1007" spans="1:16" x14ac:dyDescent="0.2">
      <c r="A1007" s="2" t="s">
        <v>1400</v>
      </c>
      <c r="B1007" s="2" t="s">
        <v>179</v>
      </c>
      <c r="C1007" s="2" t="s">
        <v>39</v>
      </c>
      <c r="D1007" s="2" t="s">
        <v>40</v>
      </c>
      <c r="E1007" s="2" t="s">
        <v>68</v>
      </c>
      <c r="F1007" s="2" t="s">
        <v>21</v>
      </c>
      <c r="G1007" s="2" t="s">
        <v>22</v>
      </c>
      <c r="H1007" s="3">
        <v>7595</v>
      </c>
      <c r="I1007" s="4">
        <v>25</v>
      </c>
      <c r="J1007" s="5">
        <v>5.54</v>
      </c>
      <c r="K1007" s="4">
        <v>80</v>
      </c>
      <c r="L1007" s="3">
        <f t="shared" si="45"/>
        <v>1518.9999999999998</v>
      </c>
      <c r="M1007" s="3">
        <f t="shared" si="46"/>
        <v>37.457237209356279</v>
      </c>
      <c r="N1007" s="3">
        <v>93.3</v>
      </c>
      <c r="O1007" s="5">
        <f t="shared" si="47"/>
        <v>40.147092400167509</v>
      </c>
      <c r="P1007" s="2" t="s">
        <v>69</v>
      </c>
    </row>
    <row r="1008" spans="1:16" x14ac:dyDescent="0.2">
      <c r="A1008" s="2" t="s">
        <v>1401</v>
      </c>
      <c r="B1008" s="2" t="s">
        <v>109</v>
      </c>
      <c r="C1008" s="2" t="s">
        <v>153</v>
      </c>
      <c r="D1008" s="2" t="s">
        <v>19</v>
      </c>
      <c r="E1008" s="2" t="s">
        <v>177</v>
      </c>
      <c r="F1008" s="2" t="s">
        <v>34</v>
      </c>
      <c r="G1008" s="2" t="s">
        <v>35</v>
      </c>
      <c r="H1008" s="3">
        <v>14670</v>
      </c>
      <c r="I1008" s="4">
        <v>30</v>
      </c>
      <c r="J1008" s="5">
        <v>4.33</v>
      </c>
      <c r="K1008" s="4">
        <v>90</v>
      </c>
      <c r="L1008" s="3">
        <f t="shared" si="45"/>
        <v>1466.9999999999998</v>
      </c>
      <c r="M1008" s="3">
        <f t="shared" si="46"/>
        <v>65.570666038807644</v>
      </c>
      <c r="N1008" s="3">
        <v>188.3</v>
      </c>
      <c r="O1008" s="5">
        <f t="shared" si="47"/>
        <v>34.822446117263752</v>
      </c>
      <c r="P1008" s="2" t="s">
        <v>36</v>
      </c>
    </row>
    <row r="1009" spans="1:16" x14ac:dyDescent="0.2">
      <c r="A1009" s="2" t="s">
        <v>1402</v>
      </c>
      <c r="B1009" s="2" t="s">
        <v>455</v>
      </c>
      <c r="C1009" s="2" t="s">
        <v>131</v>
      </c>
      <c r="D1009" s="2" t="s">
        <v>27</v>
      </c>
      <c r="E1009" s="2" t="s">
        <v>107</v>
      </c>
      <c r="F1009" s="2" t="s">
        <v>59</v>
      </c>
      <c r="G1009" s="2" t="s">
        <v>98</v>
      </c>
      <c r="H1009" s="3">
        <v>12016</v>
      </c>
      <c r="I1009" s="4">
        <v>30</v>
      </c>
      <c r="J1009" s="5">
        <v>4.3499999999999996</v>
      </c>
      <c r="K1009" s="4">
        <v>70</v>
      </c>
      <c r="L1009" s="3">
        <f t="shared" si="45"/>
        <v>3604.8000000000006</v>
      </c>
      <c r="M1009" s="3">
        <f t="shared" si="46"/>
        <v>41.871945508950446</v>
      </c>
      <c r="N1009" s="3">
        <v>170.5</v>
      </c>
      <c r="O1009" s="5">
        <f t="shared" si="47"/>
        <v>24.558325811701142</v>
      </c>
      <c r="P1009" s="2" t="s">
        <v>36</v>
      </c>
    </row>
    <row r="1010" spans="1:16" x14ac:dyDescent="0.2">
      <c r="A1010" s="2" t="s">
        <v>1403</v>
      </c>
      <c r="B1010" s="2" t="s">
        <v>548</v>
      </c>
      <c r="C1010" s="2" t="s">
        <v>32</v>
      </c>
      <c r="D1010" s="2" t="s">
        <v>32</v>
      </c>
      <c r="E1010" s="2" t="s">
        <v>156</v>
      </c>
      <c r="F1010" s="2" t="s">
        <v>50</v>
      </c>
      <c r="G1010" s="2" t="s">
        <v>98</v>
      </c>
      <c r="H1010" s="3">
        <v>14163</v>
      </c>
      <c r="I1010" s="4">
        <v>25</v>
      </c>
      <c r="J1010" s="5">
        <v>4.82</v>
      </c>
      <c r="K1010" s="4">
        <v>75</v>
      </c>
      <c r="L1010" s="3">
        <f t="shared" si="45"/>
        <v>3540.75</v>
      </c>
      <c r="M1010" s="3">
        <f t="shared" si="46"/>
        <v>60.987744059580841</v>
      </c>
      <c r="N1010" s="3">
        <v>210.5</v>
      </c>
      <c r="O1010" s="5">
        <f t="shared" si="47"/>
        <v>28.972800028304434</v>
      </c>
      <c r="P1010" s="2" t="s">
        <v>36</v>
      </c>
    </row>
    <row r="1011" spans="1:16" x14ac:dyDescent="0.2">
      <c r="A1011" s="2" t="s">
        <v>1404</v>
      </c>
      <c r="B1011" s="2" t="s">
        <v>511</v>
      </c>
      <c r="C1011" s="2" t="s">
        <v>18</v>
      </c>
      <c r="D1011" s="2" t="s">
        <v>19</v>
      </c>
      <c r="E1011" s="2" t="s">
        <v>177</v>
      </c>
      <c r="F1011" s="2" t="s">
        <v>34</v>
      </c>
      <c r="G1011" s="2" t="s">
        <v>44</v>
      </c>
      <c r="H1011" s="3">
        <v>8763</v>
      </c>
      <c r="I1011" s="4">
        <v>30</v>
      </c>
      <c r="J1011" s="5">
        <v>5.23</v>
      </c>
      <c r="K1011" s="4">
        <v>85</v>
      </c>
      <c r="L1011" s="3">
        <f t="shared" si="45"/>
        <v>1314.4500000000003</v>
      </c>
      <c r="M1011" s="3">
        <f t="shared" si="46"/>
        <v>41.038947909562197</v>
      </c>
      <c r="N1011" s="3">
        <v>151.6</v>
      </c>
      <c r="O1011" s="5">
        <f t="shared" si="47"/>
        <v>27.070546114486937</v>
      </c>
      <c r="P1011" s="2" t="s">
        <v>69</v>
      </c>
    </row>
    <row r="1012" spans="1:16" x14ac:dyDescent="0.2">
      <c r="A1012" s="2" t="s">
        <v>1405</v>
      </c>
      <c r="B1012" s="2" t="s">
        <v>179</v>
      </c>
      <c r="C1012" s="2" t="s">
        <v>119</v>
      </c>
      <c r="D1012" s="2" t="s">
        <v>120</v>
      </c>
      <c r="E1012" s="2" t="s">
        <v>107</v>
      </c>
      <c r="F1012" s="2" t="s">
        <v>34</v>
      </c>
      <c r="G1012" s="2" t="s">
        <v>35</v>
      </c>
      <c r="H1012" s="3">
        <v>3477</v>
      </c>
      <c r="I1012" s="4">
        <v>15</v>
      </c>
      <c r="J1012" s="5">
        <v>4.66</v>
      </c>
      <c r="K1012" s="4">
        <v>85</v>
      </c>
      <c r="L1012" s="3">
        <f t="shared" si="45"/>
        <v>521.55000000000007</v>
      </c>
      <c r="M1012" s="3">
        <f t="shared" si="46"/>
        <v>22.851415176360678</v>
      </c>
      <c r="N1012" s="3">
        <v>47.3</v>
      </c>
      <c r="O1012" s="5">
        <f t="shared" si="47"/>
        <v>48.311659992305877</v>
      </c>
      <c r="P1012" s="2" t="s">
        <v>36</v>
      </c>
    </row>
    <row r="1013" spans="1:16" x14ac:dyDescent="0.2">
      <c r="A1013" s="2" t="s">
        <v>1406</v>
      </c>
      <c r="B1013" s="2" t="s">
        <v>305</v>
      </c>
      <c r="C1013" s="2" t="s">
        <v>39</v>
      </c>
      <c r="D1013" s="2" t="s">
        <v>40</v>
      </c>
      <c r="E1013" s="2" t="s">
        <v>74</v>
      </c>
      <c r="F1013" s="2" t="s">
        <v>34</v>
      </c>
      <c r="G1013" s="2" t="s">
        <v>22</v>
      </c>
      <c r="H1013" s="3">
        <v>13549</v>
      </c>
      <c r="I1013" s="4">
        <v>30</v>
      </c>
      <c r="J1013" s="5">
        <v>4.87</v>
      </c>
      <c r="K1013" s="4">
        <v>80</v>
      </c>
      <c r="L1013" s="3">
        <f t="shared" si="45"/>
        <v>2709.7999999999993</v>
      </c>
      <c r="M1013" s="3">
        <f t="shared" si="46"/>
        <v>57.329046524747987</v>
      </c>
      <c r="N1013" s="3">
        <v>212.5</v>
      </c>
      <c r="O1013" s="5">
        <f t="shared" si="47"/>
        <v>26.978374835175522</v>
      </c>
      <c r="P1013" s="2" t="s">
        <v>36</v>
      </c>
    </row>
    <row r="1014" spans="1:16" x14ac:dyDescent="0.2">
      <c r="A1014" s="2" t="s">
        <v>1407</v>
      </c>
      <c r="B1014" s="2" t="s">
        <v>1075</v>
      </c>
      <c r="C1014" s="2" t="s">
        <v>39</v>
      </c>
      <c r="D1014" s="2" t="s">
        <v>40</v>
      </c>
      <c r="E1014" s="2" t="s">
        <v>78</v>
      </c>
      <c r="F1014" s="2" t="s">
        <v>50</v>
      </c>
      <c r="G1014" s="2" t="s">
        <v>35</v>
      </c>
      <c r="H1014" s="3">
        <v>7372</v>
      </c>
      <c r="I1014" s="4">
        <v>30</v>
      </c>
      <c r="J1014" s="5">
        <v>5.47</v>
      </c>
      <c r="K1014" s="4">
        <v>75</v>
      </c>
      <c r="L1014" s="3">
        <f t="shared" si="45"/>
        <v>1843</v>
      </c>
      <c r="M1014" s="3">
        <f t="shared" si="46"/>
        <v>31.289063768403619</v>
      </c>
      <c r="N1014" s="3">
        <v>101.4</v>
      </c>
      <c r="O1014" s="5">
        <f t="shared" si="47"/>
        <v>30.857064860358598</v>
      </c>
      <c r="P1014" s="2" t="s">
        <v>36</v>
      </c>
    </row>
    <row r="1015" spans="1:16" x14ac:dyDescent="0.2">
      <c r="A1015" s="2" t="s">
        <v>1408</v>
      </c>
      <c r="B1015" s="2" t="s">
        <v>87</v>
      </c>
      <c r="C1015" s="2" t="s">
        <v>77</v>
      </c>
      <c r="D1015" s="2" t="s">
        <v>19</v>
      </c>
      <c r="E1015" s="2" t="s">
        <v>88</v>
      </c>
      <c r="F1015" s="2" t="s">
        <v>50</v>
      </c>
      <c r="G1015" s="2" t="s">
        <v>22</v>
      </c>
      <c r="H1015" s="3">
        <v>15743</v>
      </c>
      <c r="I1015" s="4">
        <v>30</v>
      </c>
      <c r="J1015" s="5">
        <v>4.57</v>
      </c>
      <c r="K1015" s="4">
        <v>80</v>
      </c>
      <c r="L1015" s="3">
        <f t="shared" si="45"/>
        <v>3148.5999999999995</v>
      </c>
      <c r="M1015" s="3">
        <f t="shared" si="46"/>
        <v>64.338873743005905</v>
      </c>
      <c r="N1015" s="3">
        <v>204.3</v>
      </c>
      <c r="O1015" s="5">
        <f t="shared" si="47"/>
        <v>31.492351318162459</v>
      </c>
      <c r="P1015" s="2" t="s">
        <v>29</v>
      </c>
    </row>
    <row r="1016" spans="1:16" x14ac:dyDescent="0.2">
      <c r="A1016" s="2" t="s">
        <v>1409</v>
      </c>
      <c r="B1016" s="2" t="s">
        <v>208</v>
      </c>
      <c r="C1016" s="2" t="s">
        <v>72</v>
      </c>
      <c r="D1016" s="2" t="s">
        <v>73</v>
      </c>
      <c r="E1016" s="2" t="s">
        <v>49</v>
      </c>
      <c r="F1016" s="2" t="s">
        <v>59</v>
      </c>
      <c r="G1016" s="2" t="s">
        <v>35</v>
      </c>
      <c r="H1016" s="3">
        <v>11675</v>
      </c>
      <c r="I1016" s="4">
        <v>25</v>
      </c>
      <c r="J1016" s="5">
        <v>5.17</v>
      </c>
      <c r="K1016" s="4">
        <v>80</v>
      </c>
      <c r="L1016" s="3">
        <f t="shared" si="45"/>
        <v>2334.9999999999995</v>
      </c>
      <c r="M1016" s="3">
        <f t="shared" si="46"/>
        <v>55.529784446980244</v>
      </c>
      <c r="N1016" s="3">
        <v>153.69999999999999</v>
      </c>
      <c r="O1016" s="5">
        <f t="shared" si="47"/>
        <v>36.128682138568799</v>
      </c>
      <c r="P1016" s="2" t="s">
        <v>36</v>
      </c>
    </row>
    <row r="1017" spans="1:16" x14ac:dyDescent="0.2">
      <c r="A1017" s="2" t="s">
        <v>1410</v>
      </c>
      <c r="B1017" s="2" t="s">
        <v>1340</v>
      </c>
      <c r="C1017" s="2" t="s">
        <v>18</v>
      </c>
      <c r="D1017" s="2" t="s">
        <v>19</v>
      </c>
      <c r="E1017" s="2" t="s">
        <v>49</v>
      </c>
      <c r="F1017" s="2" t="s">
        <v>28</v>
      </c>
      <c r="G1017" s="2" t="s">
        <v>44</v>
      </c>
      <c r="H1017" s="3">
        <v>13156</v>
      </c>
      <c r="I1017" s="4">
        <v>30</v>
      </c>
      <c r="J1017" s="5">
        <v>5.41</v>
      </c>
      <c r="K1017" s="4">
        <v>80</v>
      </c>
      <c r="L1017" s="3">
        <f t="shared" si="45"/>
        <v>2631.1999999999994</v>
      </c>
      <c r="M1017" s="3">
        <f t="shared" si="46"/>
        <v>59.16570781671463</v>
      </c>
      <c r="N1017" s="3">
        <v>139.30000000000001</v>
      </c>
      <c r="O1017" s="5">
        <f t="shared" si="47"/>
        <v>42.473587808122488</v>
      </c>
      <c r="P1017" s="2" t="s">
        <v>23</v>
      </c>
    </row>
    <row r="1018" spans="1:16" x14ac:dyDescent="0.2">
      <c r="A1018" s="2" t="s">
        <v>1411</v>
      </c>
      <c r="B1018" s="2" t="s">
        <v>444</v>
      </c>
      <c r="C1018" s="2" t="s">
        <v>142</v>
      </c>
      <c r="D1018" s="2" t="s">
        <v>143</v>
      </c>
      <c r="E1018" s="2" t="s">
        <v>97</v>
      </c>
      <c r="F1018" s="2" t="s">
        <v>28</v>
      </c>
      <c r="G1018" s="2" t="s">
        <v>22</v>
      </c>
      <c r="H1018" s="3">
        <v>6263</v>
      </c>
      <c r="I1018" s="4">
        <v>20</v>
      </c>
      <c r="J1018" s="5">
        <v>4.6399999999999997</v>
      </c>
      <c r="K1018" s="4">
        <v>75</v>
      </c>
      <c r="L1018" s="3">
        <f t="shared" si="45"/>
        <v>1565.75</v>
      </c>
      <c r="M1018" s="3">
        <f t="shared" si="46"/>
        <v>30.073270355173136</v>
      </c>
      <c r="N1018" s="3">
        <v>78.099999999999994</v>
      </c>
      <c r="O1018" s="5">
        <f t="shared" si="47"/>
        <v>38.506108009184558</v>
      </c>
      <c r="P1018" s="2" t="s">
        <v>36</v>
      </c>
    </row>
    <row r="1019" spans="1:16" x14ac:dyDescent="0.2">
      <c r="A1019" s="2" t="s">
        <v>1412</v>
      </c>
      <c r="B1019" s="2" t="s">
        <v>511</v>
      </c>
      <c r="C1019" s="2" t="s">
        <v>131</v>
      </c>
      <c r="D1019" s="2" t="s">
        <v>27</v>
      </c>
      <c r="E1019" s="2" t="s">
        <v>41</v>
      </c>
      <c r="F1019" s="2" t="s">
        <v>21</v>
      </c>
      <c r="G1019" s="2" t="s">
        <v>35</v>
      </c>
      <c r="H1019" s="3">
        <v>11169</v>
      </c>
      <c r="I1019" s="4">
        <v>15</v>
      </c>
      <c r="J1019" s="5">
        <v>4.2300000000000004</v>
      </c>
      <c r="K1019" s="4">
        <v>75</v>
      </c>
      <c r="L1019" s="3">
        <f t="shared" si="45"/>
        <v>2792.25</v>
      </c>
      <c r="M1019" s="3">
        <f t="shared" si="46"/>
        <v>62.93172377238443</v>
      </c>
      <c r="N1019" s="3">
        <v>188</v>
      </c>
      <c r="O1019" s="5">
        <f t="shared" si="47"/>
        <v>33.474321155523633</v>
      </c>
      <c r="P1019" s="2" t="s">
        <v>36</v>
      </c>
    </row>
    <row r="1020" spans="1:16" x14ac:dyDescent="0.2">
      <c r="A1020" s="2" t="s">
        <v>1413</v>
      </c>
      <c r="B1020" s="2" t="s">
        <v>325</v>
      </c>
      <c r="C1020" s="2" t="s">
        <v>53</v>
      </c>
      <c r="D1020" s="2" t="s">
        <v>19</v>
      </c>
      <c r="E1020" s="2" t="s">
        <v>107</v>
      </c>
      <c r="F1020" s="2" t="s">
        <v>34</v>
      </c>
      <c r="G1020" s="2" t="s">
        <v>44</v>
      </c>
      <c r="H1020" s="3">
        <v>5978</v>
      </c>
      <c r="I1020" s="4">
        <v>20</v>
      </c>
      <c r="J1020" s="5">
        <v>5.01</v>
      </c>
      <c r="K1020" s="4">
        <v>80</v>
      </c>
      <c r="L1020" s="3">
        <f t="shared" si="45"/>
        <v>1195.5999999999997</v>
      </c>
      <c r="M1020" s="3">
        <f t="shared" si="46"/>
        <v>31.588148246513576</v>
      </c>
      <c r="N1020" s="3">
        <v>103</v>
      </c>
      <c r="O1020" s="5">
        <f t="shared" si="47"/>
        <v>30.668105093702501</v>
      </c>
      <c r="P1020" s="2" t="s">
        <v>36</v>
      </c>
    </row>
    <row r="1021" spans="1:16" x14ac:dyDescent="0.2">
      <c r="A1021" s="2" t="s">
        <v>1414</v>
      </c>
      <c r="B1021" s="2" t="s">
        <v>495</v>
      </c>
      <c r="C1021" s="2" t="s">
        <v>91</v>
      </c>
      <c r="D1021" s="2" t="s">
        <v>92</v>
      </c>
      <c r="E1021" s="2" t="s">
        <v>114</v>
      </c>
      <c r="F1021" s="2" t="s">
        <v>50</v>
      </c>
      <c r="G1021" s="2" t="s">
        <v>44</v>
      </c>
      <c r="H1021" s="3">
        <v>11292</v>
      </c>
      <c r="I1021" s="4">
        <v>20</v>
      </c>
      <c r="J1021" s="5">
        <v>4.82</v>
      </c>
      <c r="K1021" s="4">
        <v>75</v>
      </c>
      <c r="L1021" s="3">
        <f t="shared" si="45"/>
        <v>2823</v>
      </c>
      <c r="M1021" s="3">
        <f t="shared" si="46"/>
        <v>55.052969263635717</v>
      </c>
      <c r="N1021" s="3">
        <v>133.5</v>
      </c>
      <c r="O1021" s="5">
        <f t="shared" si="47"/>
        <v>41.238179223697166</v>
      </c>
      <c r="P1021" s="2" t="s">
        <v>29</v>
      </c>
    </row>
    <row r="1022" spans="1:16" x14ac:dyDescent="0.2">
      <c r="A1022" s="2" t="s">
        <v>1415</v>
      </c>
      <c r="B1022" s="2" t="s">
        <v>358</v>
      </c>
      <c r="C1022" s="2" t="s">
        <v>47</v>
      </c>
      <c r="D1022" s="2" t="s">
        <v>48</v>
      </c>
      <c r="E1022" s="2" t="s">
        <v>64</v>
      </c>
      <c r="F1022" s="2" t="s">
        <v>28</v>
      </c>
      <c r="G1022" s="2" t="s">
        <v>35</v>
      </c>
      <c r="H1022" s="3">
        <v>14464</v>
      </c>
      <c r="I1022" s="4">
        <v>25</v>
      </c>
      <c r="J1022" s="5">
        <v>4.2</v>
      </c>
      <c r="K1022" s="4">
        <v>70</v>
      </c>
      <c r="L1022" s="3">
        <f t="shared" si="45"/>
        <v>4339.2000000000007</v>
      </c>
      <c r="M1022" s="3">
        <f t="shared" si="46"/>
        <v>54.566831798054125</v>
      </c>
      <c r="N1022" s="3">
        <v>256.5</v>
      </c>
      <c r="O1022" s="5">
        <f t="shared" si="47"/>
        <v>21.273618634718957</v>
      </c>
      <c r="P1022" s="2" t="s">
        <v>36</v>
      </c>
    </row>
    <row r="1023" spans="1:16" x14ac:dyDescent="0.2">
      <c r="A1023" s="2" t="s">
        <v>1416</v>
      </c>
      <c r="B1023" s="2" t="s">
        <v>826</v>
      </c>
      <c r="C1023" s="2" t="s">
        <v>91</v>
      </c>
      <c r="D1023" s="2" t="s">
        <v>92</v>
      </c>
      <c r="E1023" s="2" t="s">
        <v>20</v>
      </c>
      <c r="F1023" s="2" t="s">
        <v>28</v>
      </c>
      <c r="G1023" s="2" t="s">
        <v>44</v>
      </c>
      <c r="H1023" s="3">
        <v>5115</v>
      </c>
      <c r="I1023" s="4">
        <v>20</v>
      </c>
      <c r="J1023" s="5">
        <v>5.63</v>
      </c>
      <c r="K1023" s="4">
        <v>80</v>
      </c>
      <c r="L1023" s="3">
        <f t="shared" si="45"/>
        <v>1022.9999999999998</v>
      </c>
      <c r="M1023" s="3">
        <f t="shared" si="46"/>
        <v>28.449643788921342</v>
      </c>
      <c r="N1023" s="3">
        <v>69.400000000000006</v>
      </c>
      <c r="O1023" s="5">
        <f t="shared" si="47"/>
        <v>40.993723038791558</v>
      </c>
      <c r="P1023" s="2" t="s">
        <v>69</v>
      </c>
    </row>
    <row r="1024" spans="1:16" x14ac:dyDescent="0.2">
      <c r="A1024" s="2" t="s">
        <v>1417</v>
      </c>
      <c r="B1024" s="2" t="s">
        <v>1215</v>
      </c>
      <c r="C1024" s="2" t="s">
        <v>77</v>
      </c>
      <c r="D1024" s="2" t="s">
        <v>19</v>
      </c>
      <c r="E1024" s="2" t="s">
        <v>156</v>
      </c>
      <c r="F1024" s="2" t="s">
        <v>28</v>
      </c>
      <c r="G1024" s="2" t="s">
        <v>98</v>
      </c>
      <c r="H1024" s="3">
        <v>8230</v>
      </c>
      <c r="I1024" s="4">
        <v>20</v>
      </c>
      <c r="J1024" s="5">
        <v>4.99</v>
      </c>
      <c r="K1024" s="4">
        <v>90</v>
      </c>
      <c r="L1024" s="3">
        <f t="shared" si="45"/>
        <v>822.99999999999977</v>
      </c>
      <c r="M1024" s="3">
        <f t="shared" si="46"/>
        <v>48.842013025239055</v>
      </c>
      <c r="N1024" s="3">
        <v>105</v>
      </c>
      <c r="O1024" s="5">
        <f t="shared" si="47"/>
        <v>46.51620288118005</v>
      </c>
      <c r="P1024" s="2" t="s">
        <v>36</v>
      </c>
    </row>
    <row r="1025" spans="1:16" x14ac:dyDescent="0.2">
      <c r="A1025" s="2" t="s">
        <v>1418</v>
      </c>
      <c r="B1025" s="2" t="s">
        <v>1055</v>
      </c>
      <c r="C1025" s="2" t="s">
        <v>100</v>
      </c>
      <c r="D1025" s="2" t="s">
        <v>32</v>
      </c>
      <c r="E1025" s="2" t="s">
        <v>78</v>
      </c>
      <c r="F1025" s="2" t="s">
        <v>21</v>
      </c>
      <c r="G1025" s="2" t="s">
        <v>98</v>
      </c>
      <c r="H1025" s="3">
        <v>13161</v>
      </c>
      <c r="I1025" s="4">
        <v>25</v>
      </c>
      <c r="J1025" s="5">
        <v>5.34</v>
      </c>
      <c r="K1025" s="4">
        <v>85</v>
      </c>
      <c r="L1025" s="3">
        <f t="shared" si="45"/>
        <v>1974.1500000000003</v>
      </c>
      <c r="M1025" s="3">
        <f t="shared" si="46"/>
        <v>67.632250678711145</v>
      </c>
      <c r="N1025" s="3">
        <v>151.4</v>
      </c>
      <c r="O1025" s="5">
        <f t="shared" si="47"/>
        <v>44.671235586995472</v>
      </c>
      <c r="P1025" s="2" t="s">
        <v>36</v>
      </c>
    </row>
    <row r="1026" spans="1:16" x14ac:dyDescent="0.2">
      <c r="A1026" s="2" t="s">
        <v>1419</v>
      </c>
      <c r="B1026" s="2" t="s">
        <v>76</v>
      </c>
      <c r="C1026" s="2" t="s">
        <v>175</v>
      </c>
      <c r="D1026" s="2" t="s">
        <v>176</v>
      </c>
      <c r="E1026" s="2" t="s">
        <v>156</v>
      </c>
      <c r="F1026" s="2" t="s">
        <v>34</v>
      </c>
      <c r="G1026" s="2" t="s">
        <v>35</v>
      </c>
      <c r="H1026" s="3">
        <v>3763</v>
      </c>
      <c r="I1026" s="4">
        <v>15</v>
      </c>
      <c r="J1026" s="5">
        <v>4.62</v>
      </c>
      <c r="K1026" s="4">
        <v>80</v>
      </c>
      <c r="L1026" s="3">
        <f t="shared" ref="L1026:L1089" si="48">H1026*(1-K1026/100)</f>
        <v>752.5999999999998</v>
      </c>
      <c r="M1026" s="3">
        <f t="shared" ref="M1026:M1089" si="49">PMT(J1026/100/12, I1026*12, -(H1026*K1026/100))</f>
        <v>23.21441141907988</v>
      </c>
      <c r="N1026" s="3">
        <v>68.3</v>
      </c>
      <c r="O1026" s="5">
        <f t="shared" ref="O1026:O1089" si="50">IFERROR(M1026/N1026*100,0)</f>
        <v>33.988889339794845</v>
      </c>
      <c r="P1026" s="2" t="s">
        <v>29</v>
      </c>
    </row>
    <row r="1027" spans="1:16" x14ac:dyDescent="0.2">
      <c r="A1027" s="2" t="s">
        <v>1420</v>
      </c>
      <c r="B1027" s="2" t="s">
        <v>25</v>
      </c>
      <c r="C1027" s="2" t="s">
        <v>100</v>
      </c>
      <c r="D1027" s="2" t="s">
        <v>32</v>
      </c>
      <c r="E1027" s="2" t="s">
        <v>177</v>
      </c>
      <c r="F1027" s="2" t="s">
        <v>59</v>
      </c>
      <c r="G1027" s="2" t="s">
        <v>98</v>
      </c>
      <c r="H1027" s="3">
        <v>17044</v>
      </c>
      <c r="I1027" s="4">
        <v>20</v>
      </c>
      <c r="J1027" s="5">
        <v>4.1100000000000003</v>
      </c>
      <c r="K1027" s="4">
        <v>80</v>
      </c>
      <c r="L1027" s="3">
        <f t="shared" si="48"/>
        <v>3408.7999999999993</v>
      </c>
      <c r="M1027" s="3">
        <f t="shared" si="49"/>
        <v>83.419097662441857</v>
      </c>
      <c r="N1027" s="3">
        <v>186.6</v>
      </c>
      <c r="O1027" s="5">
        <f t="shared" si="50"/>
        <v>44.704768307846656</v>
      </c>
      <c r="P1027" s="2" t="s">
        <v>36</v>
      </c>
    </row>
    <row r="1028" spans="1:16" x14ac:dyDescent="0.2">
      <c r="A1028" s="2" t="s">
        <v>1421</v>
      </c>
      <c r="B1028" s="2" t="s">
        <v>1139</v>
      </c>
      <c r="C1028" s="2" t="s">
        <v>47</v>
      </c>
      <c r="D1028" s="2" t="s">
        <v>48</v>
      </c>
      <c r="E1028" s="2" t="s">
        <v>64</v>
      </c>
      <c r="F1028" s="2" t="s">
        <v>21</v>
      </c>
      <c r="G1028" s="2" t="s">
        <v>35</v>
      </c>
      <c r="H1028" s="3">
        <v>6779</v>
      </c>
      <c r="I1028" s="4">
        <v>25</v>
      </c>
      <c r="J1028" s="5">
        <v>4.43</v>
      </c>
      <c r="K1028" s="4">
        <v>70</v>
      </c>
      <c r="L1028" s="3">
        <f t="shared" si="48"/>
        <v>2033.7000000000003</v>
      </c>
      <c r="M1028" s="3">
        <f t="shared" si="49"/>
        <v>26.187732186051544</v>
      </c>
      <c r="N1028" s="3">
        <v>91.8</v>
      </c>
      <c r="O1028" s="5">
        <f t="shared" si="50"/>
        <v>28.526941379141117</v>
      </c>
      <c r="P1028" s="2" t="s">
        <v>23</v>
      </c>
    </row>
    <row r="1029" spans="1:16" x14ac:dyDescent="0.2">
      <c r="A1029" s="2" t="s">
        <v>1422</v>
      </c>
      <c r="B1029" s="2" t="s">
        <v>1094</v>
      </c>
      <c r="C1029" s="2" t="s">
        <v>91</v>
      </c>
      <c r="D1029" s="2" t="s">
        <v>92</v>
      </c>
      <c r="E1029" s="2" t="s">
        <v>74</v>
      </c>
      <c r="F1029" s="2" t="s">
        <v>50</v>
      </c>
      <c r="G1029" s="2" t="s">
        <v>35</v>
      </c>
      <c r="H1029" s="3">
        <v>17971</v>
      </c>
      <c r="I1029" s="4">
        <v>30</v>
      </c>
      <c r="J1029" s="5">
        <v>4.5599999999999996</v>
      </c>
      <c r="K1029" s="4">
        <v>80</v>
      </c>
      <c r="L1029" s="3">
        <f t="shared" si="48"/>
        <v>3594.1999999999994</v>
      </c>
      <c r="M1029" s="3">
        <f t="shared" si="49"/>
        <v>73.358571356046511</v>
      </c>
      <c r="N1029" s="3">
        <v>194.4</v>
      </c>
      <c r="O1029" s="5">
        <f t="shared" si="50"/>
        <v>37.735890615250263</v>
      </c>
      <c r="P1029" s="2" t="s">
        <v>36</v>
      </c>
    </row>
    <row r="1030" spans="1:16" x14ac:dyDescent="0.2">
      <c r="A1030" s="2" t="s">
        <v>1423</v>
      </c>
      <c r="B1030" s="2" t="s">
        <v>1205</v>
      </c>
      <c r="C1030" s="2" t="s">
        <v>131</v>
      </c>
      <c r="D1030" s="2" t="s">
        <v>27</v>
      </c>
      <c r="E1030" s="2" t="s">
        <v>88</v>
      </c>
      <c r="F1030" s="2" t="s">
        <v>50</v>
      </c>
      <c r="G1030" s="2" t="s">
        <v>44</v>
      </c>
      <c r="H1030" s="3">
        <v>9581</v>
      </c>
      <c r="I1030" s="4">
        <v>20</v>
      </c>
      <c r="J1030" s="5">
        <v>5.57</v>
      </c>
      <c r="K1030" s="4">
        <v>80</v>
      </c>
      <c r="L1030" s="3">
        <f t="shared" si="48"/>
        <v>1916.1999999999996</v>
      </c>
      <c r="M1030" s="3">
        <f t="shared" si="49"/>
        <v>53.028680277510659</v>
      </c>
      <c r="N1030" s="3">
        <v>160.19999999999999</v>
      </c>
      <c r="O1030" s="5">
        <f t="shared" si="50"/>
        <v>33.101548238146485</v>
      </c>
      <c r="P1030" s="2" t="s">
        <v>29</v>
      </c>
    </row>
    <row r="1031" spans="1:16" x14ac:dyDescent="0.2">
      <c r="A1031" s="2" t="s">
        <v>1424</v>
      </c>
      <c r="B1031" s="2" t="s">
        <v>502</v>
      </c>
      <c r="C1031" s="2" t="s">
        <v>100</v>
      </c>
      <c r="D1031" s="2" t="s">
        <v>32</v>
      </c>
      <c r="E1031" s="2" t="s">
        <v>114</v>
      </c>
      <c r="F1031" s="2" t="s">
        <v>21</v>
      </c>
      <c r="G1031" s="2" t="s">
        <v>35</v>
      </c>
      <c r="H1031" s="3">
        <v>3196</v>
      </c>
      <c r="I1031" s="4">
        <v>20</v>
      </c>
      <c r="J1031" s="5">
        <v>5.79</v>
      </c>
      <c r="K1031" s="4">
        <v>80</v>
      </c>
      <c r="L1031" s="3">
        <f t="shared" si="48"/>
        <v>639.19999999999982</v>
      </c>
      <c r="M1031" s="3">
        <f t="shared" si="49"/>
        <v>18.009306343813559</v>
      </c>
      <c r="N1031" s="3">
        <v>54</v>
      </c>
      <c r="O1031" s="5">
        <f t="shared" si="50"/>
        <v>33.350567303358439</v>
      </c>
      <c r="P1031" s="2" t="s">
        <v>36</v>
      </c>
    </row>
    <row r="1032" spans="1:16" x14ac:dyDescent="0.2">
      <c r="A1032" s="2" t="s">
        <v>1425</v>
      </c>
      <c r="B1032" s="2" t="s">
        <v>358</v>
      </c>
      <c r="C1032" s="2" t="s">
        <v>146</v>
      </c>
      <c r="D1032" s="2" t="s">
        <v>19</v>
      </c>
      <c r="E1032" s="2" t="s">
        <v>156</v>
      </c>
      <c r="F1032" s="2" t="s">
        <v>59</v>
      </c>
      <c r="G1032" s="2" t="s">
        <v>44</v>
      </c>
      <c r="H1032" s="3">
        <v>2204</v>
      </c>
      <c r="I1032" s="4">
        <v>20</v>
      </c>
      <c r="J1032" s="5">
        <v>5.17</v>
      </c>
      <c r="K1032" s="4">
        <v>80</v>
      </c>
      <c r="L1032" s="3">
        <f t="shared" si="48"/>
        <v>440.7999999999999</v>
      </c>
      <c r="M1032" s="3">
        <f t="shared" si="49"/>
        <v>11.802560332383848</v>
      </c>
      <c r="N1032" s="3">
        <v>26.4</v>
      </c>
      <c r="O1032" s="5">
        <f t="shared" si="50"/>
        <v>44.706667925696394</v>
      </c>
      <c r="P1032" s="2" t="s">
        <v>36</v>
      </c>
    </row>
    <row r="1033" spans="1:16" x14ac:dyDescent="0.2">
      <c r="A1033" s="2" t="s">
        <v>1426</v>
      </c>
      <c r="B1033" s="2" t="s">
        <v>823</v>
      </c>
      <c r="C1033" s="2" t="s">
        <v>67</v>
      </c>
      <c r="D1033" s="2" t="s">
        <v>67</v>
      </c>
      <c r="E1033" s="2" t="s">
        <v>41</v>
      </c>
      <c r="F1033" s="2" t="s">
        <v>21</v>
      </c>
      <c r="G1033" s="2" t="s">
        <v>22</v>
      </c>
      <c r="H1033" s="3">
        <v>3233</v>
      </c>
      <c r="I1033" s="4">
        <v>20</v>
      </c>
      <c r="J1033" s="5">
        <v>4.1100000000000003</v>
      </c>
      <c r="K1033" s="4">
        <v>90</v>
      </c>
      <c r="L1033" s="3">
        <f t="shared" si="48"/>
        <v>323.29999999999995</v>
      </c>
      <c r="M1033" s="3">
        <f t="shared" si="49"/>
        <v>17.801319266927294</v>
      </c>
      <c r="N1033" s="3">
        <v>51.2</v>
      </c>
      <c r="O1033" s="5">
        <f t="shared" si="50"/>
        <v>34.768201693217371</v>
      </c>
      <c r="P1033" s="2" t="s">
        <v>36</v>
      </c>
    </row>
    <row r="1034" spans="1:16" x14ac:dyDescent="0.2">
      <c r="A1034" s="2" t="s">
        <v>1427</v>
      </c>
      <c r="B1034" s="2" t="s">
        <v>724</v>
      </c>
      <c r="C1034" s="2" t="s">
        <v>91</v>
      </c>
      <c r="D1034" s="2" t="s">
        <v>92</v>
      </c>
      <c r="E1034" s="2" t="s">
        <v>20</v>
      </c>
      <c r="F1034" s="2" t="s">
        <v>34</v>
      </c>
      <c r="G1034" s="2" t="s">
        <v>44</v>
      </c>
      <c r="H1034" s="3">
        <v>12150</v>
      </c>
      <c r="I1034" s="4">
        <v>30</v>
      </c>
      <c r="J1034" s="5">
        <v>4.82</v>
      </c>
      <c r="K1034" s="4">
        <v>80</v>
      </c>
      <c r="L1034" s="3">
        <f t="shared" si="48"/>
        <v>2429.9999999999995</v>
      </c>
      <c r="M1034" s="3">
        <f t="shared" si="49"/>
        <v>51.115043290669789</v>
      </c>
      <c r="N1034" s="3">
        <v>129</v>
      </c>
      <c r="O1034" s="5">
        <f t="shared" si="50"/>
        <v>39.624064566410688</v>
      </c>
      <c r="P1034" s="2" t="s">
        <v>23</v>
      </c>
    </row>
    <row r="1035" spans="1:16" x14ac:dyDescent="0.2">
      <c r="A1035" s="2" t="s">
        <v>1428</v>
      </c>
      <c r="B1035" s="2" t="s">
        <v>189</v>
      </c>
      <c r="C1035" s="2" t="s">
        <v>77</v>
      </c>
      <c r="D1035" s="2" t="s">
        <v>19</v>
      </c>
      <c r="E1035" s="2" t="s">
        <v>41</v>
      </c>
      <c r="F1035" s="2" t="s">
        <v>21</v>
      </c>
      <c r="G1035" s="2" t="s">
        <v>44</v>
      </c>
      <c r="H1035" s="3">
        <v>1712</v>
      </c>
      <c r="I1035" s="4">
        <v>20</v>
      </c>
      <c r="J1035" s="5">
        <v>4.16</v>
      </c>
      <c r="K1035" s="4">
        <v>85</v>
      </c>
      <c r="L1035" s="3">
        <f t="shared" si="48"/>
        <v>256.8</v>
      </c>
      <c r="M1035" s="3">
        <f t="shared" si="49"/>
        <v>8.9413947065641022</v>
      </c>
      <c r="N1035" s="3">
        <v>20.100000000000001</v>
      </c>
      <c r="O1035" s="5">
        <f t="shared" si="50"/>
        <v>44.484550778925879</v>
      </c>
      <c r="P1035" s="2" t="s">
        <v>69</v>
      </c>
    </row>
    <row r="1036" spans="1:16" x14ac:dyDescent="0.2">
      <c r="A1036" s="2" t="s">
        <v>1429</v>
      </c>
      <c r="B1036" s="2" t="s">
        <v>566</v>
      </c>
      <c r="C1036" s="2" t="s">
        <v>53</v>
      </c>
      <c r="D1036" s="2" t="s">
        <v>19</v>
      </c>
      <c r="E1036" s="2" t="s">
        <v>78</v>
      </c>
      <c r="F1036" s="2" t="s">
        <v>50</v>
      </c>
      <c r="G1036" s="2" t="s">
        <v>44</v>
      </c>
      <c r="H1036" s="3">
        <v>5583</v>
      </c>
      <c r="I1036" s="4">
        <v>30</v>
      </c>
      <c r="J1036" s="5">
        <v>4.5</v>
      </c>
      <c r="K1036" s="4">
        <v>90</v>
      </c>
      <c r="L1036" s="3">
        <f t="shared" si="48"/>
        <v>558.29999999999984</v>
      </c>
      <c r="M1036" s="3">
        <f t="shared" si="49"/>
        <v>25.459416762821025</v>
      </c>
      <c r="N1036" s="3">
        <v>63.5</v>
      </c>
      <c r="O1036" s="5">
        <f t="shared" si="50"/>
        <v>40.09356970522996</v>
      </c>
      <c r="P1036" s="2" t="s">
        <v>29</v>
      </c>
    </row>
    <row r="1037" spans="1:16" x14ac:dyDescent="0.2">
      <c r="A1037" s="2" t="s">
        <v>1430</v>
      </c>
      <c r="B1037" s="2" t="s">
        <v>649</v>
      </c>
      <c r="C1037" s="2" t="s">
        <v>77</v>
      </c>
      <c r="D1037" s="2" t="s">
        <v>19</v>
      </c>
      <c r="E1037" s="2" t="s">
        <v>49</v>
      </c>
      <c r="F1037" s="2" t="s">
        <v>50</v>
      </c>
      <c r="G1037" s="2" t="s">
        <v>22</v>
      </c>
      <c r="H1037" s="3">
        <v>8934</v>
      </c>
      <c r="I1037" s="4">
        <v>15</v>
      </c>
      <c r="J1037" s="5">
        <v>5.0199999999999996</v>
      </c>
      <c r="K1037" s="4">
        <v>85</v>
      </c>
      <c r="L1037" s="3">
        <f t="shared" si="48"/>
        <v>1340.1000000000001</v>
      </c>
      <c r="M1037" s="3">
        <f t="shared" si="49"/>
        <v>60.131223353203929</v>
      </c>
      <c r="N1037" s="3">
        <v>142.30000000000001</v>
      </c>
      <c r="O1037" s="5">
        <f t="shared" si="50"/>
        <v>42.25665731075469</v>
      </c>
      <c r="P1037" s="2" t="s">
        <v>29</v>
      </c>
    </row>
    <row r="1038" spans="1:16" x14ac:dyDescent="0.2">
      <c r="A1038" s="2" t="s">
        <v>1431</v>
      </c>
      <c r="B1038" s="2" t="s">
        <v>812</v>
      </c>
      <c r="C1038" s="2" t="s">
        <v>77</v>
      </c>
      <c r="D1038" s="2" t="s">
        <v>19</v>
      </c>
      <c r="E1038" s="2" t="s">
        <v>97</v>
      </c>
      <c r="F1038" s="2" t="s">
        <v>50</v>
      </c>
      <c r="G1038" s="2" t="s">
        <v>35</v>
      </c>
      <c r="H1038" s="3">
        <v>17988</v>
      </c>
      <c r="I1038" s="4">
        <v>15</v>
      </c>
      <c r="J1038" s="5">
        <v>4.46</v>
      </c>
      <c r="K1038" s="4">
        <v>75</v>
      </c>
      <c r="L1038" s="3">
        <f t="shared" si="48"/>
        <v>4497</v>
      </c>
      <c r="M1038" s="3">
        <f t="shared" si="49"/>
        <v>102.92966211132145</v>
      </c>
      <c r="N1038" s="3">
        <v>247.5</v>
      </c>
      <c r="O1038" s="5">
        <f t="shared" si="50"/>
        <v>41.587742267200582</v>
      </c>
      <c r="P1038" s="2" t="s">
        <v>36</v>
      </c>
    </row>
    <row r="1039" spans="1:16" x14ac:dyDescent="0.2">
      <c r="A1039" s="2" t="s">
        <v>1432</v>
      </c>
      <c r="B1039" s="2" t="s">
        <v>279</v>
      </c>
      <c r="C1039" s="2" t="s">
        <v>84</v>
      </c>
      <c r="D1039" s="2" t="s">
        <v>85</v>
      </c>
      <c r="E1039" s="2" t="s">
        <v>81</v>
      </c>
      <c r="F1039" s="2" t="s">
        <v>28</v>
      </c>
      <c r="G1039" s="2" t="s">
        <v>35</v>
      </c>
      <c r="H1039" s="3">
        <v>11515</v>
      </c>
      <c r="I1039" s="4">
        <v>20</v>
      </c>
      <c r="J1039" s="5">
        <v>5.12</v>
      </c>
      <c r="K1039" s="4">
        <v>80</v>
      </c>
      <c r="L1039" s="3">
        <f t="shared" si="48"/>
        <v>2302.9999999999995</v>
      </c>
      <c r="M1039" s="3">
        <f t="shared" si="49"/>
        <v>61.407447478457996</v>
      </c>
      <c r="N1039" s="3">
        <v>163.4</v>
      </c>
      <c r="O1039" s="5">
        <f t="shared" si="50"/>
        <v>37.581057208358629</v>
      </c>
      <c r="P1039" s="2" t="s">
        <v>36</v>
      </c>
    </row>
    <row r="1040" spans="1:16" x14ac:dyDescent="0.2">
      <c r="A1040" s="2" t="s">
        <v>1433</v>
      </c>
      <c r="B1040" s="2" t="s">
        <v>71</v>
      </c>
      <c r="C1040" s="2" t="s">
        <v>18</v>
      </c>
      <c r="D1040" s="2" t="s">
        <v>19</v>
      </c>
      <c r="E1040" s="2" t="s">
        <v>41</v>
      </c>
      <c r="F1040" s="2" t="s">
        <v>28</v>
      </c>
      <c r="G1040" s="2" t="s">
        <v>35</v>
      </c>
      <c r="H1040" s="3">
        <v>13892</v>
      </c>
      <c r="I1040" s="4">
        <v>25</v>
      </c>
      <c r="J1040" s="5">
        <v>5.67</v>
      </c>
      <c r="K1040" s="4">
        <v>90</v>
      </c>
      <c r="L1040" s="3">
        <f t="shared" si="48"/>
        <v>1389.1999999999996</v>
      </c>
      <c r="M1040" s="3">
        <f t="shared" si="49"/>
        <v>78.05261056491824</v>
      </c>
      <c r="N1040" s="3">
        <v>173.6</v>
      </c>
      <c r="O1040" s="5">
        <f t="shared" si="50"/>
        <v>44.96118120098977</v>
      </c>
      <c r="P1040" s="2" t="s">
        <v>29</v>
      </c>
    </row>
    <row r="1041" spans="1:16" x14ac:dyDescent="0.2">
      <c r="A1041" s="2" t="s">
        <v>1434</v>
      </c>
      <c r="B1041" s="2" t="s">
        <v>853</v>
      </c>
      <c r="C1041" s="2" t="s">
        <v>175</v>
      </c>
      <c r="D1041" s="2" t="s">
        <v>176</v>
      </c>
      <c r="E1041" s="2" t="s">
        <v>33</v>
      </c>
      <c r="F1041" s="2" t="s">
        <v>21</v>
      </c>
      <c r="G1041" s="2" t="s">
        <v>22</v>
      </c>
      <c r="H1041" s="3">
        <v>11970</v>
      </c>
      <c r="I1041" s="4">
        <v>30</v>
      </c>
      <c r="J1041" s="5">
        <v>4.3499999999999996</v>
      </c>
      <c r="K1041" s="4">
        <v>80</v>
      </c>
      <c r="L1041" s="3">
        <f t="shared" si="48"/>
        <v>2393.9999999999995</v>
      </c>
      <c r="M1041" s="3">
        <f t="shared" si="49"/>
        <v>47.670457270509488</v>
      </c>
      <c r="N1041" s="3">
        <v>154.1</v>
      </c>
      <c r="O1041" s="5">
        <f t="shared" si="50"/>
        <v>30.93475488027871</v>
      </c>
      <c r="P1041" s="2" t="s">
        <v>29</v>
      </c>
    </row>
    <row r="1042" spans="1:16" x14ac:dyDescent="0.2">
      <c r="A1042" s="2" t="s">
        <v>1435</v>
      </c>
      <c r="B1042" s="2" t="s">
        <v>541</v>
      </c>
      <c r="C1042" s="2" t="s">
        <v>53</v>
      </c>
      <c r="D1042" s="2" t="s">
        <v>19</v>
      </c>
      <c r="E1042" s="2" t="s">
        <v>74</v>
      </c>
      <c r="F1042" s="2" t="s">
        <v>21</v>
      </c>
      <c r="G1042" s="2" t="s">
        <v>35</v>
      </c>
      <c r="H1042" s="3">
        <v>4360</v>
      </c>
      <c r="I1042" s="4">
        <v>15</v>
      </c>
      <c r="J1042" s="5">
        <v>4.51</v>
      </c>
      <c r="K1042" s="4">
        <v>85</v>
      </c>
      <c r="L1042" s="3">
        <f t="shared" si="48"/>
        <v>654.00000000000011</v>
      </c>
      <c r="M1042" s="3">
        <f t="shared" si="49"/>
        <v>28.369595373424836</v>
      </c>
      <c r="N1042" s="3">
        <v>49.2</v>
      </c>
      <c r="O1042" s="5">
        <f t="shared" si="50"/>
        <v>57.66177921427812</v>
      </c>
      <c r="P1042" s="2" t="s">
        <v>23</v>
      </c>
    </row>
    <row r="1043" spans="1:16" x14ac:dyDescent="0.2">
      <c r="A1043" s="2" t="s">
        <v>1436</v>
      </c>
      <c r="B1043" s="2" t="s">
        <v>1238</v>
      </c>
      <c r="C1043" s="2" t="s">
        <v>18</v>
      </c>
      <c r="D1043" s="2" t="s">
        <v>19</v>
      </c>
      <c r="E1043" s="2" t="s">
        <v>97</v>
      </c>
      <c r="F1043" s="2" t="s">
        <v>34</v>
      </c>
      <c r="G1043" s="2" t="s">
        <v>98</v>
      </c>
      <c r="H1043" s="3">
        <v>11512</v>
      </c>
      <c r="I1043" s="4">
        <v>15</v>
      </c>
      <c r="J1043" s="5">
        <v>3.93</v>
      </c>
      <c r="K1043" s="4">
        <v>80</v>
      </c>
      <c r="L1043" s="3">
        <f t="shared" si="48"/>
        <v>2302.3999999999996</v>
      </c>
      <c r="M1043" s="3">
        <f t="shared" si="49"/>
        <v>67.799690503286811</v>
      </c>
      <c r="N1043" s="3">
        <v>179.6</v>
      </c>
      <c r="O1043" s="5">
        <f t="shared" si="50"/>
        <v>37.750384467308919</v>
      </c>
      <c r="P1043" s="2" t="s">
        <v>29</v>
      </c>
    </row>
    <row r="1044" spans="1:16" x14ac:dyDescent="0.2">
      <c r="A1044" s="2" t="s">
        <v>1437</v>
      </c>
      <c r="B1044" s="2" t="s">
        <v>929</v>
      </c>
      <c r="C1044" s="2" t="s">
        <v>131</v>
      </c>
      <c r="D1044" s="2" t="s">
        <v>27</v>
      </c>
      <c r="E1044" s="2" t="s">
        <v>81</v>
      </c>
      <c r="F1044" s="2" t="s">
        <v>21</v>
      </c>
      <c r="G1044" s="2" t="s">
        <v>98</v>
      </c>
      <c r="H1044" s="3">
        <v>7667</v>
      </c>
      <c r="I1044" s="4">
        <v>15</v>
      </c>
      <c r="J1044" s="5">
        <v>5.55</v>
      </c>
      <c r="K1044" s="4">
        <v>80</v>
      </c>
      <c r="L1044" s="3">
        <f t="shared" si="48"/>
        <v>1533.3999999999996</v>
      </c>
      <c r="M1044" s="3">
        <f t="shared" si="49"/>
        <v>50.279519545155331</v>
      </c>
      <c r="N1044" s="3">
        <v>88.6</v>
      </c>
      <c r="O1044" s="5">
        <f t="shared" si="50"/>
        <v>56.748893391823174</v>
      </c>
      <c r="P1044" s="2" t="s">
        <v>29</v>
      </c>
    </row>
    <row r="1045" spans="1:16" x14ac:dyDescent="0.2">
      <c r="A1045" s="2" t="s">
        <v>1438</v>
      </c>
      <c r="B1045" s="2" t="s">
        <v>517</v>
      </c>
      <c r="C1045" s="2" t="s">
        <v>100</v>
      </c>
      <c r="D1045" s="2" t="s">
        <v>32</v>
      </c>
      <c r="E1045" s="2" t="s">
        <v>41</v>
      </c>
      <c r="F1045" s="2" t="s">
        <v>34</v>
      </c>
      <c r="G1045" s="2" t="s">
        <v>22</v>
      </c>
      <c r="H1045" s="3">
        <v>8287</v>
      </c>
      <c r="I1045" s="4">
        <v>30</v>
      </c>
      <c r="J1045" s="5">
        <v>5.44</v>
      </c>
      <c r="K1045" s="4">
        <v>90</v>
      </c>
      <c r="L1045" s="3">
        <f t="shared" si="48"/>
        <v>828.69999999999982</v>
      </c>
      <c r="M1045" s="3">
        <f t="shared" si="49"/>
        <v>42.067067690050052</v>
      </c>
      <c r="N1045" s="3">
        <v>109.5</v>
      </c>
      <c r="O1045" s="5">
        <f t="shared" si="50"/>
        <v>38.41741341557082</v>
      </c>
      <c r="P1045" s="2" t="s">
        <v>23</v>
      </c>
    </row>
    <row r="1046" spans="1:16" x14ac:dyDescent="0.2">
      <c r="A1046" s="2" t="s">
        <v>1439</v>
      </c>
      <c r="B1046" s="2" t="s">
        <v>470</v>
      </c>
      <c r="C1046" s="2" t="s">
        <v>39</v>
      </c>
      <c r="D1046" s="2" t="s">
        <v>40</v>
      </c>
      <c r="E1046" s="2" t="s">
        <v>177</v>
      </c>
      <c r="F1046" s="2" t="s">
        <v>59</v>
      </c>
      <c r="G1046" s="2" t="s">
        <v>35</v>
      </c>
      <c r="H1046" s="3">
        <v>8721</v>
      </c>
      <c r="I1046" s="4">
        <v>20</v>
      </c>
      <c r="J1046" s="5">
        <v>4.4800000000000004</v>
      </c>
      <c r="K1046" s="4">
        <v>85</v>
      </c>
      <c r="L1046" s="3">
        <f t="shared" si="48"/>
        <v>1308.1500000000001</v>
      </c>
      <c r="M1046" s="3">
        <f t="shared" si="49"/>
        <v>46.81735902288554</v>
      </c>
      <c r="N1046" s="3">
        <v>130.19999999999999</v>
      </c>
      <c r="O1046" s="5">
        <f t="shared" si="50"/>
        <v>35.958033043690897</v>
      </c>
      <c r="P1046" s="2" t="s">
        <v>36</v>
      </c>
    </row>
    <row r="1047" spans="1:16" x14ac:dyDescent="0.2">
      <c r="A1047" s="2" t="s">
        <v>1440</v>
      </c>
      <c r="B1047" s="2" t="s">
        <v>438</v>
      </c>
      <c r="C1047" s="2" t="s">
        <v>47</v>
      </c>
      <c r="D1047" s="2" t="s">
        <v>48</v>
      </c>
      <c r="E1047" s="2" t="s">
        <v>49</v>
      </c>
      <c r="F1047" s="2" t="s">
        <v>34</v>
      </c>
      <c r="G1047" s="2" t="s">
        <v>22</v>
      </c>
      <c r="H1047" s="3">
        <v>5352</v>
      </c>
      <c r="I1047" s="4">
        <v>25</v>
      </c>
      <c r="J1047" s="5">
        <v>5.22</v>
      </c>
      <c r="K1047" s="4">
        <v>75</v>
      </c>
      <c r="L1047" s="3">
        <f t="shared" si="48"/>
        <v>1338</v>
      </c>
      <c r="M1047" s="3">
        <f t="shared" si="49"/>
        <v>23.982811938216226</v>
      </c>
      <c r="N1047" s="3">
        <v>73.3</v>
      </c>
      <c r="O1047" s="5">
        <f t="shared" si="50"/>
        <v>32.718706600567842</v>
      </c>
      <c r="P1047" s="2" t="s">
        <v>36</v>
      </c>
    </row>
    <row r="1048" spans="1:16" x14ac:dyDescent="0.2">
      <c r="A1048" s="2" t="s">
        <v>1441</v>
      </c>
      <c r="B1048" s="2" t="s">
        <v>604</v>
      </c>
      <c r="C1048" s="2" t="s">
        <v>56</v>
      </c>
      <c r="D1048" s="2" t="s">
        <v>57</v>
      </c>
      <c r="E1048" s="2" t="s">
        <v>177</v>
      </c>
      <c r="F1048" s="2" t="s">
        <v>28</v>
      </c>
      <c r="G1048" s="2" t="s">
        <v>44</v>
      </c>
      <c r="H1048" s="3">
        <v>17237</v>
      </c>
      <c r="I1048" s="4">
        <v>30</v>
      </c>
      <c r="J1048" s="5">
        <v>5.18</v>
      </c>
      <c r="K1048" s="4">
        <v>90</v>
      </c>
      <c r="L1048" s="3">
        <f t="shared" si="48"/>
        <v>1723.6999999999996</v>
      </c>
      <c r="M1048" s="3">
        <f t="shared" si="49"/>
        <v>84.993653238021963</v>
      </c>
      <c r="N1048" s="3">
        <v>181.6</v>
      </c>
      <c r="O1048" s="5">
        <f t="shared" si="50"/>
        <v>46.802672487897553</v>
      </c>
      <c r="P1048" s="2" t="s">
        <v>36</v>
      </c>
    </row>
    <row r="1049" spans="1:16" x14ac:dyDescent="0.2">
      <c r="A1049" s="2" t="s">
        <v>1442</v>
      </c>
      <c r="B1049" s="2" t="s">
        <v>375</v>
      </c>
      <c r="C1049" s="2" t="s">
        <v>39</v>
      </c>
      <c r="D1049" s="2" t="s">
        <v>40</v>
      </c>
      <c r="E1049" s="2" t="s">
        <v>107</v>
      </c>
      <c r="F1049" s="2" t="s">
        <v>21</v>
      </c>
      <c r="G1049" s="2" t="s">
        <v>22</v>
      </c>
      <c r="H1049" s="3">
        <v>15680</v>
      </c>
      <c r="I1049" s="4">
        <v>20</v>
      </c>
      <c r="J1049" s="5">
        <v>4.05</v>
      </c>
      <c r="K1049" s="4">
        <v>75</v>
      </c>
      <c r="L1049" s="3">
        <f t="shared" si="48"/>
        <v>3920</v>
      </c>
      <c r="M1049" s="3">
        <f t="shared" si="49"/>
        <v>71.573503819199715</v>
      </c>
      <c r="N1049" s="3">
        <v>228.9</v>
      </c>
      <c r="O1049" s="5">
        <f t="shared" si="50"/>
        <v>31.26845951035374</v>
      </c>
      <c r="P1049" s="2" t="s">
        <v>36</v>
      </c>
    </row>
    <row r="1050" spans="1:16" x14ac:dyDescent="0.2">
      <c r="A1050" s="2" t="s">
        <v>1443</v>
      </c>
      <c r="B1050" s="2" t="s">
        <v>340</v>
      </c>
      <c r="C1050" s="2" t="s">
        <v>72</v>
      </c>
      <c r="D1050" s="2" t="s">
        <v>73</v>
      </c>
      <c r="E1050" s="2" t="s">
        <v>107</v>
      </c>
      <c r="F1050" s="2" t="s">
        <v>34</v>
      </c>
      <c r="G1050" s="2" t="s">
        <v>35</v>
      </c>
      <c r="H1050" s="3">
        <v>6350</v>
      </c>
      <c r="I1050" s="4">
        <v>25</v>
      </c>
      <c r="J1050" s="5">
        <v>5.69</v>
      </c>
      <c r="K1050" s="4">
        <v>80</v>
      </c>
      <c r="L1050" s="3">
        <f t="shared" si="48"/>
        <v>1269.9999999999998</v>
      </c>
      <c r="M1050" s="3">
        <f t="shared" si="49"/>
        <v>31.774672989360383</v>
      </c>
      <c r="N1050" s="3">
        <v>77.8</v>
      </c>
      <c r="O1050" s="5">
        <f t="shared" si="50"/>
        <v>40.841481991465791</v>
      </c>
      <c r="P1050" s="2" t="s">
        <v>29</v>
      </c>
    </row>
    <row r="1051" spans="1:16" x14ac:dyDescent="0.2">
      <c r="A1051" s="2" t="s">
        <v>1444</v>
      </c>
      <c r="B1051" s="2" t="s">
        <v>476</v>
      </c>
      <c r="C1051" s="2" t="s">
        <v>84</v>
      </c>
      <c r="D1051" s="2" t="s">
        <v>85</v>
      </c>
      <c r="E1051" s="2" t="s">
        <v>74</v>
      </c>
      <c r="F1051" s="2" t="s">
        <v>34</v>
      </c>
      <c r="G1051" s="2" t="s">
        <v>35</v>
      </c>
      <c r="H1051" s="3">
        <v>6662</v>
      </c>
      <c r="I1051" s="4">
        <v>30</v>
      </c>
      <c r="J1051" s="5">
        <v>5.12</v>
      </c>
      <c r="K1051" s="4">
        <v>85</v>
      </c>
      <c r="L1051" s="3">
        <f t="shared" si="48"/>
        <v>999.30000000000018</v>
      </c>
      <c r="M1051" s="3">
        <f t="shared" si="49"/>
        <v>30.81524505434869</v>
      </c>
      <c r="N1051" s="3">
        <v>73.599999999999994</v>
      </c>
      <c r="O1051" s="5">
        <f t="shared" si="50"/>
        <v>41.868539476017247</v>
      </c>
      <c r="P1051" s="2" t="s">
        <v>36</v>
      </c>
    </row>
    <row r="1052" spans="1:16" x14ac:dyDescent="0.2">
      <c r="A1052" s="2" t="s">
        <v>1445</v>
      </c>
      <c r="B1052" s="2" t="s">
        <v>550</v>
      </c>
      <c r="C1052" s="2" t="s">
        <v>56</v>
      </c>
      <c r="D1052" s="2" t="s">
        <v>57</v>
      </c>
      <c r="E1052" s="2" t="s">
        <v>49</v>
      </c>
      <c r="F1052" s="2" t="s">
        <v>21</v>
      </c>
      <c r="G1052" s="2" t="s">
        <v>22</v>
      </c>
      <c r="H1052" s="3">
        <v>1741</v>
      </c>
      <c r="I1052" s="4">
        <v>30</v>
      </c>
      <c r="J1052" s="5">
        <v>5.62</v>
      </c>
      <c r="K1052" s="4">
        <v>90</v>
      </c>
      <c r="L1052" s="3">
        <f t="shared" si="48"/>
        <v>174.09999999999997</v>
      </c>
      <c r="M1052" s="3">
        <f t="shared" si="49"/>
        <v>9.0150144047837735</v>
      </c>
      <c r="N1052" s="3">
        <v>23.4</v>
      </c>
      <c r="O1052" s="5">
        <f t="shared" si="50"/>
        <v>38.525702584546046</v>
      </c>
      <c r="P1052" s="2" t="s">
        <v>36</v>
      </c>
    </row>
    <row r="1053" spans="1:16" x14ac:dyDescent="0.2">
      <c r="A1053" s="2" t="s">
        <v>1446</v>
      </c>
      <c r="B1053" s="2" t="s">
        <v>298</v>
      </c>
      <c r="C1053" s="2" t="s">
        <v>142</v>
      </c>
      <c r="D1053" s="2" t="s">
        <v>143</v>
      </c>
      <c r="E1053" s="2" t="s">
        <v>74</v>
      </c>
      <c r="F1053" s="2" t="s">
        <v>21</v>
      </c>
      <c r="G1053" s="2" t="s">
        <v>44</v>
      </c>
      <c r="H1053" s="3">
        <v>13497</v>
      </c>
      <c r="I1053" s="4">
        <v>25</v>
      </c>
      <c r="J1053" s="5">
        <v>4.8</v>
      </c>
      <c r="K1053" s="4">
        <v>80</v>
      </c>
      <c r="L1053" s="3">
        <f t="shared" si="48"/>
        <v>2699.3999999999992</v>
      </c>
      <c r="M1053" s="3">
        <f t="shared" si="49"/>
        <v>61.869919976130888</v>
      </c>
      <c r="N1053" s="3">
        <v>196.6</v>
      </c>
      <c r="O1053" s="5">
        <f t="shared" si="50"/>
        <v>31.469949123159154</v>
      </c>
      <c r="P1053" s="2" t="s">
        <v>29</v>
      </c>
    </row>
    <row r="1054" spans="1:16" x14ac:dyDescent="0.2">
      <c r="A1054" s="2" t="s">
        <v>1447</v>
      </c>
      <c r="B1054" s="2" t="s">
        <v>651</v>
      </c>
      <c r="C1054" s="2" t="s">
        <v>153</v>
      </c>
      <c r="D1054" s="2" t="s">
        <v>19</v>
      </c>
      <c r="E1054" s="2" t="s">
        <v>64</v>
      </c>
      <c r="F1054" s="2" t="s">
        <v>59</v>
      </c>
      <c r="G1054" s="2" t="s">
        <v>35</v>
      </c>
      <c r="H1054" s="3">
        <v>4272</v>
      </c>
      <c r="I1054" s="4">
        <v>20</v>
      </c>
      <c r="J1054" s="5">
        <v>4.29</v>
      </c>
      <c r="K1054" s="4">
        <v>80</v>
      </c>
      <c r="L1054" s="3">
        <f t="shared" si="48"/>
        <v>854.39999999999986</v>
      </c>
      <c r="M1054" s="3">
        <f t="shared" si="49"/>
        <v>21.235944091868557</v>
      </c>
      <c r="N1054" s="3">
        <v>49</v>
      </c>
      <c r="O1054" s="5">
        <f t="shared" si="50"/>
        <v>43.338661411976645</v>
      </c>
      <c r="P1054" s="2" t="s">
        <v>69</v>
      </c>
    </row>
    <row r="1055" spans="1:16" x14ac:dyDescent="0.2">
      <c r="A1055" s="2" t="s">
        <v>1448</v>
      </c>
      <c r="B1055" s="2" t="s">
        <v>730</v>
      </c>
      <c r="C1055" s="2" t="s">
        <v>62</v>
      </c>
      <c r="D1055" s="2" t="s">
        <v>63</v>
      </c>
      <c r="E1055" s="2" t="s">
        <v>114</v>
      </c>
      <c r="F1055" s="2" t="s">
        <v>28</v>
      </c>
      <c r="G1055" s="2" t="s">
        <v>44</v>
      </c>
      <c r="H1055" s="3">
        <v>7397</v>
      </c>
      <c r="I1055" s="4">
        <v>20</v>
      </c>
      <c r="J1055" s="5">
        <v>5.0199999999999996</v>
      </c>
      <c r="K1055" s="4">
        <v>70</v>
      </c>
      <c r="L1055" s="3">
        <f t="shared" si="48"/>
        <v>2219.1000000000004</v>
      </c>
      <c r="M1055" s="3">
        <f t="shared" si="49"/>
        <v>34.229081755926806</v>
      </c>
      <c r="N1055" s="3">
        <v>109.2</v>
      </c>
      <c r="O1055" s="5">
        <f t="shared" si="50"/>
        <v>31.345312963302934</v>
      </c>
      <c r="P1055" s="2" t="s">
        <v>36</v>
      </c>
    </row>
    <row r="1056" spans="1:16" x14ac:dyDescent="0.2">
      <c r="A1056" s="2" t="s">
        <v>1449</v>
      </c>
      <c r="B1056" s="2" t="s">
        <v>470</v>
      </c>
      <c r="C1056" s="2" t="s">
        <v>56</v>
      </c>
      <c r="D1056" s="2" t="s">
        <v>57</v>
      </c>
      <c r="E1056" s="2" t="s">
        <v>177</v>
      </c>
      <c r="F1056" s="2" t="s">
        <v>21</v>
      </c>
      <c r="G1056" s="2" t="s">
        <v>98</v>
      </c>
      <c r="H1056" s="3">
        <v>5017</v>
      </c>
      <c r="I1056" s="4">
        <v>25</v>
      </c>
      <c r="J1056" s="5">
        <v>4.87</v>
      </c>
      <c r="K1056" s="4">
        <v>75</v>
      </c>
      <c r="L1056" s="3">
        <f t="shared" si="48"/>
        <v>1254.25</v>
      </c>
      <c r="M1056" s="3">
        <f t="shared" si="49"/>
        <v>21.71260952340204</v>
      </c>
      <c r="N1056" s="3">
        <v>78.3</v>
      </c>
      <c r="O1056" s="5">
        <f t="shared" si="50"/>
        <v>27.730024934102225</v>
      </c>
      <c r="P1056" s="2" t="s">
        <v>23</v>
      </c>
    </row>
    <row r="1057" spans="1:16" x14ac:dyDescent="0.2">
      <c r="A1057" s="2" t="s">
        <v>1450</v>
      </c>
      <c r="B1057" s="2" t="s">
        <v>470</v>
      </c>
      <c r="C1057" s="2" t="s">
        <v>72</v>
      </c>
      <c r="D1057" s="2" t="s">
        <v>73</v>
      </c>
      <c r="E1057" s="2" t="s">
        <v>107</v>
      </c>
      <c r="F1057" s="2" t="s">
        <v>59</v>
      </c>
      <c r="G1057" s="2" t="s">
        <v>35</v>
      </c>
      <c r="H1057" s="3">
        <v>17551</v>
      </c>
      <c r="I1057" s="4">
        <v>25</v>
      </c>
      <c r="J1057" s="5">
        <v>5.6</v>
      </c>
      <c r="K1057" s="4">
        <v>70</v>
      </c>
      <c r="L1057" s="3">
        <f t="shared" si="48"/>
        <v>5265.3000000000011</v>
      </c>
      <c r="M1057" s="3">
        <f t="shared" si="49"/>
        <v>76.180398156320265</v>
      </c>
      <c r="N1057" s="3">
        <v>254.7</v>
      </c>
      <c r="O1057" s="5">
        <f t="shared" si="50"/>
        <v>29.909854007192884</v>
      </c>
      <c r="P1057" s="2" t="s">
        <v>69</v>
      </c>
    </row>
    <row r="1058" spans="1:16" x14ac:dyDescent="0.2">
      <c r="A1058" s="2" t="s">
        <v>1451</v>
      </c>
      <c r="B1058" s="2" t="s">
        <v>847</v>
      </c>
      <c r="C1058" s="2" t="s">
        <v>26</v>
      </c>
      <c r="D1058" s="2" t="s">
        <v>27</v>
      </c>
      <c r="E1058" s="2" t="s">
        <v>49</v>
      </c>
      <c r="F1058" s="2" t="s">
        <v>59</v>
      </c>
      <c r="G1058" s="2" t="s">
        <v>35</v>
      </c>
      <c r="H1058" s="3">
        <v>11029</v>
      </c>
      <c r="I1058" s="4">
        <v>25</v>
      </c>
      <c r="J1058" s="5">
        <v>5.53</v>
      </c>
      <c r="K1058" s="4">
        <v>85</v>
      </c>
      <c r="L1058" s="3">
        <f t="shared" si="48"/>
        <v>1654.3500000000001</v>
      </c>
      <c r="M1058" s="3">
        <f t="shared" si="49"/>
        <v>57.736628414658078</v>
      </c>
      <c r="N1058" s="3">
        <v>124.4</v>
      </c>
      <c r="O1058" s="5">
        <f t="shared" si="50"/>
        <v>46.412080719178519</v>
      </c>
      <c r="P1058" s="2" t="s">
        <v>36</v>
      </c>
    </row>
    <row r="1059" spans="1:16" x14ac:dyDescent="0.2">
      <c r="A1059" s="2" t="s">
        <v>1452</v>
      </c>
      <c r="B1059" s="2" t="s">
        <v>262</v>
      </c>
      <c r="C1059" s="2" t="s">
        <v>67</v>
      </c>
      <c r="D1059" s="2" t="s">
        <v>67</v>
      </c>
      <c r="E1059" s="2" t="s">
        <v>49</v>
      </c>
      <c r="F1059" s="2" t="s">
        <v>50</v>
      </c>
      <c r="G1059" s="2" t="s">
        <v>44</v>
      </c>
      <c r="H1059" s="3">
        <v>10838</v>
      </c>
      <c r="I1059" s="4">
        <v>20</v>
      </c>
      <c r="J1059" s="5">
        <v>4.28</v>
      </c>
      <c r="K1059" s="4">
        <v>70</v>
      </c>
      <c r="L1059" s="3">
        <f t="shared" si="48"/>
        <v>3251.4000000000005</v>
      </c>
      <c r="M1059" s="3">
        <f t="shared" si="49"/>
        <v>47.100328572946651</v>
      </c>
      <c r="N1059" s="3">
        <v>150.80000000000001</v>
      </c>
      <c r="O1059" s="5">
        <f t="shared" si="50"/>
        <v>31.233639637232525</v>
      </c>
      <c r="P1059" s="2" t="s">
        <v>36</v>
      </c>
    </row>
    <row r="1060" spans="1:16" x14ac:dyDescent="0.2">
      <c r="A1060" s="2" t="s">
        <v>1453</v>
      </c>
      <c r="B1060" s="2" t="s">
        <v>246</v>
      </c>
      <c r="C1060" s="2" t="s">
        <v>142</v>
      </c>
      <c r="D1060" s="2" t="s">
        <v>143</v>
      </c>
      <c r="E1060" s="2" t="s">
        <v>74</v>
      </c>
      <c r="F1060" s="2" t="s">
        <v>59</v>
      </c>
      <c r="G1060" s="2" t="s">
        <v>98</v>
      </c>
      <c r="H1060" s="3">
        <v>17170</v>
      </c>
      <c r="I1060" s="4">
        <v>20</v>
      </c>
      <c r="J1060" s="5">
        <v>4.62</v>
      </c>
      <c r="K1060" s="4">
        <v>70</v>
      </c>
      <c r="L1060" s="3">
        <f t="shared" si="48"/>
        <v>5151.0000000000009</v>
      </c>
      <c r="M1060" s="3">
        <f t="shared" si="49"/>
        <v>76.818864082569448</v>
      </c>
      <c r="N1060" s="3">
        <v>264.5</v>
      </c>
      <c r="O1060" s="5">
        <f t="shared" si="50"/>
        <v>29.043048802483725</v>
      </c>
      <c r="P1060" s="2" t="s">
        <v>36</v>
      </c>
    </row>
    <row r="1061" spans="1:16" x14ac:dyDescent="0.2">
      <c r="A1061" s="2" t="s">
        <v>1454</v>
      </c>
      <c r="B1061" s="2" t="s">
        <v>388</v>
      </c>
      <c r="C1061" s="2" t="s">
        <v>62</v>
      </c>
      <c r="D1061" s="2" t="s">
        <v>63</v>
      </c>
      <c r="E1061" s="2" t="s">
        <v>68</v>
      </c>
      <c r="F1061" s="2" t="s">
        <v>34</v>
      </c>
      <c r="G1061" s="2" t="s">
        <v>98</v>
      </c>
      <c r="H1061" s="3">
        <v>3325</v>
      </c>
      <c r="I1061" s="4">
        <v>20</v>
      </c>
      <c r="J1061" s="5">
        <v>5.78</v>
      </c>
      <c r="K1061" s="4">
        <v>75</v>
      </c>
      <c r="L1061" s="3">
        <f t="shared" si="48"/>
        <v>831.25</v>
      </c>
      <c r="M1061" s="3">
        <f t="shared" si="49"/>
        <v>17.550944092075948</v>
      </c>
      <c r="N1061" s="3">
        <v>42.4</v>
      </c>
      <c r="O1061" s="5">
        <f t="shared" si="50"/>
        <v>41.39373606621686</v>
      </c>
      <c r="P1061" s="2" t="s">
        <v>36</v>
      </c>
    </row>
    <row r="1062" spans="1:16" x14ac:dyDescent="0.2">
      <c r="A1062" s="2" t="s">
        <v>1455</v>
      </c>
      <c r="B1062" s="2" t="s">
        <v>891</v>
      </c>
      <c r="C1062" s="2" t="s">
        <v>142</v>
      </c>
      <c r="D1062" s="2" t="s">
        <v>143</v>
      </c>
      <c r="E1062" s="2" t="s">
        <v>58</v>
      </c>
      <c r="F1062" s="2" t="s">
        <v>50</v>
      </c>
      <c r="G1062" s="2" t="s">
        <v>44</v>
      </c>
      <c r="H1062" s="3">
        <v>8599</v>
      </c>
      <c r="I1062" s="4">
        <v>25</v>
      </c>
      <c r="J1062" s="5">
        <v>4.3499999999999996</v>
      </c>
      <c r="K1062" s="4">
        <v>75</v>
      </c>
      <c r="L1062" s="3">
        <f t="shared" si="48"/>
        <v>2149.75</v>
      </c>
      <c r="M1062" s="3">
        <f t="shared" si="49"/>
        <v>35.30015185080282</v>
      </c>
      <c r="N1062" s="3">
        <v>109.9</v>
      </c>
      <c r="O1062" s="5">
        <f t="shared" si="50"/>
        <v>32.120247361967984</v>
      </c>
      <c r="P1062" s="2" t="s">
        <v>23</v>
      </c>
    </row>
    <row r="1063" spans="1:16" x14ac:dyDescent="0.2">
      <c r="A1063" s="2" t="s">
        <v>1456</v>
      </c>
      <c r="B1063" s="2" t="s">
        <v>578</v>
      </c>
      <c r="C1063" s="2" t="s">
        <v>91</v>
      </c>
      <c r="D1063" s="2" t="s">
        <v>92</v>
      </c>
      <c r="E1063" s="2" t="s">
        <v>156</v>
      </c>
      <c r="F1063" s="2" t="s">
        <v>50</v>
      </c>
      <c r="G1063" s="2" t="s">
        <v>35</v>
      </c>
      <c r="H1063" s="3">
        <v>4877</v>
      </c>
      <c r="I1063" s="4">
        <v>25</v>
      </c>
      <c r="J1063" s="5">
        <v>3.96</v>
      </c>
      <c r="K1063" s="4">
        <v>75</v>
      </c>
      <c r="L1063" s="3">
        <f t="shared" si="48"/>
        <v>1219.25</v>
      </c>
      <c r="M1063" s="3">
        <f t="shared" si="49"/>
        <v>19.226257975814974</v>
      </c>
      <c r="N1063" s="3">
        <v>57.4</v>
      </c>
      <c r="O1063" s="5">
        <f t="shared" si="50"/>
        <v>33.495222954381489</v>
      </c>
      <c r="P1063" s="2" t="s">
        <v>36</v>
      </c>
    </row>
    <row r="1064" spans="1:16" x14ac:dyDescent="0.2">
      <c r="A1064" s="2" t="s">
        <v>1457</v>
      </c>
      <c r="B1064" s="2" t="s">
        <v>375</v>
      </c>
      <c r="C1064" s="2" t="s">
        <v>18</v>
      </c>
      <c r="D1064" s="2" t="s">
        <v>19</v>
      </c>
      <c r="E1064" s="2" t="s">
        <v>20</v>
      </c>
      <c r="F1064" s="2" t="s">
        <v>34</v>
      </c>
      <c r="G1064" s="2" t="s">
        <v>98</v>
      </c>
      <c r="H1064" s="3">
        <v>3613</v>
      </c>
      <c r="I1064" s="4">
        <v>20</v>
      </c>
      <c r="J1064" s="5">
        <v>5.25</v>
      </c>
      <c r="K1064" s="4">
        <v>80</v>
      </c>
      <c r="L1064" s="3">
        <f t="shared" si="48"/>
        <v>722.5999999999998</v>
      </c>
      <c r="M1064" s="3">
        <f t="shared" si="49"/>
        <v>19.476791784039698</v>
      </c>
      <c r="N1064" s="3">
        <v>47.5</v>
      </c>
      <c r="O1064" s="5">
        <f t="shared" si="50"/>
        <v>41.003772176925679</v>
      </c>
      <c r="P1064" s="2" t="s">
        <v>23</v>
      </c>
    </row>
    <row r="1065" spans="1:16" x14ac:dyDescent="0.2">
      <c r="A1065" s="2" t="s">
        <v>1458</v>
      </c>
      <c r="B1065" s="2" t="s">
        <v>305</v>
      </c>
      <c r="C1065" s="2" t="s">
        <v>100</v>
      </c>
      <c r="D1065" s="2" t="s">
        <v>32</v>
      </c>
      <c r="E1065" s="2" t="s">
        <v>88</v>
      </c>
      <c r="F1065" s="2" t="s">
        <v>28</v>
      </c>
      <c r="G1065" s="2" t="s">
        <v>35</v>
      </c>
      <c r="H1065" s="3">
        <v>1669</v>
      </c>
      <c r="I1065" s="4">
        <v>30</v>
      </c>
      <c r="J1065" s="5">
        <v>5.61</v>
      </c>
      <c r="K1065" s="4">
        <v>80</v>
      </c>
      <c r="L1065" s="3">
        <f t="shared" si="48"/>
        <v>333.7999999999999</v>
      </c>
      <c r="M1065" s="3">
        <f t="shared" si="49"/>
        <v>7.6735241052417962</v>
      </c>
      <c r="N1065" s="3">
        <v>23.1</v>
      </c>
      <c r="O1065" s="5">
        <f t="shared" si="50"/>
        <v>33.218719070310804</v>
      </c>
      <c r="P1065" s="2" t="s">
        <v>36</v>
      </c>
    </row>
    <row r="1066" spans="1:16" x14ac:dyDescent="0.2">
      <c r="A1066" s="2" t="s">
        <v>1459</v>
      </c>
      <c r="B1066" s="2" t="s">
        <v>541</v>
      </c>
      <c r="C1066" s="2" t="s">
        <v>91</v>
      </c>
      <c r="D1066" s="2" t="s">
        <v>92</v>
      </c>
      <c r="E1066" s="2" t="s">
        <v>107</v>
      </c>
      <c r="F1066" s="2" t="s">
        <v>59</v>
      </c>
      <c r="G1066" s="2" t="s">
        <v>98</v>
      </c>
      <c r="H1066" s="3">
        <v>2795</v>
      </c>
      <c r="I1066" s="4">
        <v>25</v>
      </c>
      <c r="J1066" s="5">
        <v>5.12</v>
      </c>
      <c r="K1066" s="4">
        <v>75</v>
      </c>
      <c r="L1066" s="3">
        <f t="shared" si="48"/>
        <v>698.75</v>
      </c>
      <c r="M1066" s="3">
        <f t="shared" si="49"/>
        <v>12.401473981195817</v>
      </c>
      <c r="N1066" s="3">
        <v>35.6</v>
      </c>
      <c r="O1066" s="5">
        <f t="shared" si="50"/>
        <v>34.835601070774771</v>
      </c>
      <c r="P1066" s="2" t="s">
        <v>29</v>
      </c>
    </row>
    <row r="1067" spans="1:16" x14ac:dyDescent="0.2">
      <c r="A1067" s="2" t="s">
        <v>1460</v>
      </c>
      <c r="B1067" s="2" t="s">
        <v>543</v>
      </c>
      <c r="C1067" s="2" t="s">
        <v>56</v>
      </c>
      <c r="D1067" s="2" t="s">
        <v>57</v>
      </c>
      <c r="E1067" s="2" t="s">
        <v>114</v>
      </c>
      <c r="F1067" s="2" t="s">
        <v>59</v>
      </c>
      <c r="G1067" s="2" t="s">
        <v>22</v>
      </c>
      <c r="H1067" s="3">
        <v>7664</v>
      </c>
      <c r="I1067" s="4">
        <v>30</v>
      </c>
      <c r="J1067" s="5">
        <v>4.34</v>
      </c>
      <c r="K1067" s="4">
        <v>85</v>
      </c>
      <c r="L1067" s="3">
        <f t="shared" si="48"/>
        <v>1149.6000000000001</v>
      </c>
      <c r="M1067" s="3">
        <f t="shared" si="49"/>
        <v>32.39109642379735</v>
      </c>
      <c r="N1067" s="3">
        <v>89.4</v>
      </c>
      <c r="O1067" s="5">
        <f t="shared" si="50"/>
        <v>36.231651480757662</v>
      </c>
      <c r="P1067" s="2" t="s">
        <v>29</v>
      </c>
    </row>
    <row r="1068" spans="1:16" x14ac:dyDescent="0.2">
      <c r="A1068" s="2" t="s">
        <v>1461</v>
      </c>
      <c r="B1068" s="2" t="s">
        <v>1002</v>
      </c>
      <c r="C1068" s="2" t="s">
        <v>62</v>
      </c>
      <c r="D1068" s="2" t="s">
        <v>63</v>
      </c>
      <c r="E1068" s="2" t="s">
        <v>68</v>
      </c>
      <c r="F1068" s="2" t="s">
        <v>28</v>
      </c>
      <c r="G1068" s="2" t="s">
        <v>44</v>
      </c>
      <c r="H1068" s="3">
        <v>9369</v>
      </c>
      <c r="I1068" s="4">
        <v>20</v>
      </c>
      <c r="J1068" s="5">
        <v>5.45</v>
      </c>
      <c r="K1068" s="4">
        <v>90</v>
      </c>
      <c r="L1068" s="3">
        <f t="shared" si="48"/>
        <v>936.89999999999975</v>
      </c>
      <c r="M1068" s="3">
        <f t="shared" si="49"/>
        <v>57.765482322651557</v>
      </c>
      <c r="N1068" s="3">
        <v>154.30000000000001</v>
      </c>
      <c r="O1068" s="5">
        <f t="shared" si="50"/>
        <v>37.437123993941384</v>
      </c>
      <c r="P1068" s="2" t="s">
        <v>69</v>
      </c>
    </row>
    <row r="1069" spans="1:16" x14ac:dyDescent="0.2">
      <c r="A1069" s="2" t="s">
        <v>1462</v>
      </c>
      <c r="B1069" s="2" t="s">
        <v>461</v>
      </c>
      <c r="C1069" s="2" t="s">
        <v>32</v>
      </c>
      <c r="D1069" s="2" t="s">
        <v>32</v>
      </c>
      <c r="E1069" s="2" t="s">
        <v>20</v>
      </c>
      <c r="F1069" s="2" t="s">
        <v>59</v>
      </c>
      <c r="G1069" s="2" t="s">
        <v>22</v>
      </c>
      <c r="H1069" s="3">
        <v>12194</v>
      </c>
      <c r="I1069" s="4">
        <v>20</v>
      </c>
      <c r="J1069" s="5">
        <v>5.52</v>
      </c>
      <c r="K1069" s="4">
        <v>75</v>
      </c>
      <c r="L1069" s="3">
        <f t="shared" si="48"/>
        <v>3048.5</v>
      </c>
      <c r="M1069" s="3">
        <f t="shared" si="49"/>
        <v>63.014085732589827</v>
      </c>
      <c r="N1069" s="3">
        <v>184.2</v>
      </c>
      <c r="O1069" s="5">
        <f t="shared" si="50"/>
        <v>34.209601374913049</v>
      </c>
      <c r="P1069" s="2" t="s">
        <v>29</v>
      </c>
    </row>
    <row r="1070" spans="1:16" x14ac:dyDescent="0.2">
      <c r="A1070" s="2" t="s">
        <v>1463</v>
      </c>
      <c r="B1070" s="2" t="s">
        <v>1464</v>
      </c>
      <c r="C1070" s="2" t="s">
        <v>39</v>
      </c>
      <c r="D1070" s="2" t="s">
        <v>40</v>
      </c>
      <c r="E1070" s="2" t="s">
        <v>41</v>
      </c>
      <c r="F1070" s="2" t="s">
        <v>50</v>
      </c>
      <c r="G1070" s="2" t="s">
        <v>44</v>
      </c>
      <c r="H1070" s="3">
        <v>12529</v>
      </c>
      <c r="I1070" s="4">
        <v>30</v>
      </c>
      <c r="J1070" s="5">
        <v>4.7</v>
      </c>
      <c r="K1070" s="4">
        <v>80</v>
      </c>
      <c r="L1070" s="3">
        <f t="shared" si="48"/>
        <v>2505.7999999999993</v>
      </c>
      <c r="M1070" s="3">
        <f t="shared" si="49"/>
        <v>51.984104915721332</v>
      </c>
      <c r="N1070" s="3">
        <v>225.4</v>
      </c>
      <c r="O1070" s="5">
        <f t="shared" si="50"/>
        <v>23.06304565914877</v>
      </c>
      <c r="P1070" s="2" t="s">
        <v>23</v>
      </c>
    </row>
    <row r="1071" spans="1:16" x14ac:dyDescent="0.2">
      <c r="A1071" s="2" t="s">
        <v>1465</v>
      </c>
      <c r="B1071" s="2" t="s">
        <v>305</v>
      </c>
      <c r="C1071" s="2" t="s">
        <v>32</v>
      </c>
      <c r="D1071" s="2" t="s">
        <v>32</v>
      </c>
      <c r="E1071" s="2" t="s">
        <v>156</v>
      </c>
      <c r="F1071" s="2" t="s">
        <v>50</v>
      </c>
      <c r="G1071" s="2" t="s">
        <v>35</v>
      </c>
      <c r="H1071" s="3">
        <v>16755</v>
      </c>
      <c r="I1071" s="4">
        <v>30</v>
      </c>
      <c r="J1071" s="5">
        <v>3.97</v>
      </c>
      <c r="K1071" s="4">
        <v>85</v>
      </c>
      <c r="L1071" s="3">
        <f t="shared" si="48"/>
        <v>2513.2500000000005</v>
      </c>
      <c r="M1071" s="3">
        <f t="shared" si="49"/>
        <v>67.746207175677668</v>
      </c>
      <c r="N1071" s="3">
        <v>255.8</v>
      </c>
      <c r="O1071" s="5">
        <f t="shared" si="50"/>
        <v>26.484052844283685</v>
      </c>
      <c r="P1071" s="2" t="s">
        <v>36</v>
      </c>
    </row>
    <row r="1072" spans="1:16" x14ac:dyDescent="0.2">
      <c r="A1072" s="2" t="s">
        <v>1466</v>
      </c>
      <c r="B1072" s="2" t="s">
        <v>198</v>
      </c>
      <c r="C1072" s="2" t="s">
        <v>32</v>
      </c>
      <c r="D1072" s="2" t="s">
        <v>32</v>
      </c>
      <c r="E1072" s="2" t="s">
        <v>33</v>
      </c>
      <c r="F1072" s="2" t="s">
        <v>50</v>
      </c>
      <c r="G1072" s="2" t="s">
        <v>35</v>
      </c>
      <c r="H1072" s="3">
        <v>9023</v>
      </c>
      <c r="I1072" s="4">
        <v>25</v>
      </c>
      <c r="J1072" s="5">
        <v>5.26</v>
      </c>
      <c r="K1072" s="4">
        <v>80</v>
      </c>
      <c r="L1072" s="3">
        <f t="shared" si="48"/>
        <v>1804.5999999999997</v>
      </c>
      <c r="M1072" s="3">
        <f t="shared" si="49"/>
        <v>43.298693876501424</v>
      </c>
      <c r="N1072" s="3">
        <v>109.2</v>
      </c>
      <c r="O1072" s="5">
        <f t="shared" si="50"/>
        <v>39.65081856822475</v>
      </c>
      <c r="P1072" s="2" t="s">
        <v>69</v>
      </c>
    </row>
    <row r="1073" spans="1:16" x14ac:dyDescent="0.2">
      <c r="A1073" s="2" t="s">
        <v>1467</v>
      </c>
      <c r="B1073" s="2" t="s">
        <v>328</v>
      </c>
      <c r="C1073" s="2" t="s">
        <v>47</v>
      </c>
      <c r="D1073" s="2" t="s">
        <v>48</v>
      </c>
      <c r="E1073" s="2" t="s">
        <v>78</v>
      </c>
      <c r="F1073" s="2" t="s">
        <v>34</v>
      </c>
      <c r="G1073" s="2" t="s">
        <v>44</v>
      </c>
      <c r="H1073" s="3">
        <v>15496</v>
      </c>
      <c r="I1073" s="4">
        <v>15</v>
      </c>
      <c r="J1073" s="5">
        <v>4.28</v>
      </c>
      <c r="K1073" s="4">
        <v>80</v>
      </c>
      <c r="L1073" s="3">
        <f t="shared" si="48"/>
        <v>3099.1999999999994</v>
      </c>
      <c r="M1073" s="3">
        <f t="shared" si="49"/>
        <v>93.446785944525715</v>
      </c>
      <c r="N1073" s="3">
        <v>184.6</v>
      </c>
      <c r="O1073" s="5">
        <f t="shared" si="50"/>
        <v>50.621227488908836</v>
      </c>
      <c r="P1073" s="2" t="s">
        <v>29</v>
      </c>
    </row>
    <row r="1074" spans="1:16" x14ac:dyDescent="0.2">
      <c r="A1074" s="2" t="s">
        <v>1468</v>
      </c>
      <c r="B1074" s="2" t="s">
        <v>274</v>
      </c>
      <c r="C1074" s="2" t="s">
        <v>62</v>
      </c>
      <c r="D1074" s="2" t="s">
        <v>63</v>
      </c>
      <c r="E1074" s="2" t="s">
        <v>64</v>
      </c>
      <c r="F1074" s="2" t="s">
        <v>50</v>
      </c>
      <c r="G1074" s="2" t="s">
        <v>35</v>
      </c>
      <c r="H1074" s="3">
        <v>7716</v>
      </c>
      <c r="I1074" s="4">
        <v>20</v>
      </c>
      <c r="J1074" s="5">
        <v>5.35</v>
      </c>
      <c r="K1074" s="4">
        <v>80</v>
      </c>
      <c r="L1074" s="3">
        <f t="shared" si="48"/>
        <v>1543.1999999999996</v>
      </c>
      <c r="M1074" s="3">
        <f t="shared" si="49"/>
        <v>41.940654340991436</v>
      </c>
      <c r="N1074" s="3">
        <v>93.1</v>
      </c>
      <c r="O1074" s="5">
        <f t="shared" si="50"/>
        <v>45.04903796024859</v>
      </c>
      <c r="P1074" s="2" t="s">
        <v>36</v>
      </c>
    </row>
    <row r="1075" spans="1:16" x14ac:dyDescent="0.2">
      <c r="A1075" s="2" t="s">
        <v>1469</v>
      </c>
      <c r="B1075" s="2" t="s">
        <v>543</v>
      </c>
      <c r="C1075" s="2" t="s">
        <v>72</v>
      </c>
      <c r="D1075" s="2" t="s">
        <v>73</v>
      </c>
      <c r="E1075" s="2" t="s">
        <v>68</v>
      </c>
      <c r="F1075" s="2" t="s">
        <v>59</v>
      </c>
      <c r="G1075" s="2" t="s">
        <v>98</v>
      </c>
      <c r="H1075" s="3">
        <v>9565</v>
      </c>
      <c r="I1075" s="4">
        <v>15</v>
      </c>
      <c r="J1075" s="5">
        <v>5.0599999999999996</v>
      </c>
      <c r="K1075" s="4">
        <v>75</v>
      </c>
      <c r="L1075" s="3">
        <f t="shared" si="48"/>
        <v>2391.25</v>
      </c>
      <c r="M1075" s="3">
        <f t="shared" si="49"/>
        <v>56.95402782755162</v>
      </c>
      <c r="N1075" s="3">
        <v>166.4</v>
      </c>
      <c r="O1075" s="5">
        <f t="shared" si="50"/>
        <v>34.227180184826693</v>
      </c>
      <c r="P1075" s="2" t="s">
        <v>36</v>
      </c>
    </row>
    <row r="1076" spans="1:16" x14ac:dyDescent="0.2">
      <c r="A1076" s="2" t="s">
        <v>1470</v>
      </c>
      <c r="B1076" s="2" t="s">
        <v>365</v>
      </c>
      <c r="C1076" s="2" t="s">
        <v>72</v>
      </c>
      <c r="D1076" s="2" t="s">
        <v>73</v>
      </c>
      <c r="E1076" s="2" t="s">
        <v>68</v>
      </c>
      <c r="F1076" s="2" t="s">
        <v>59</v>
      </c>
      <c r="G1076" s="2" t="s">
        <v>44</v>
      </c>
      <c r="H1076" s="3">
        <v>4017</v>
      </c>
      <c r="I1076" s="4">
        <v>25</v>
      </c>
      <c r="J1076" s="5">
        <v>5.71</v>
      </c>
      <c r="K1076" s="4">
        <v>75</v>
      </c>
      <c r="L1076" s="3">
        <f t="shared" si="48"/>
        <v>1004.25</v>
      </c>
      <c r="M1076" s="3">
        <f t="shared" si="49"/>
        <v>18.880647072341425</v>
      </c>
      <c r="N1076" s="3">
        <v>47</v>
      </c>
      <c r="O1076" s="5">
        <f t="shared" si="50"/>
        <v>40.171589515620056</v>
      </c>
      <c r="P1076" s="2" t="s">
        <v>36</v>
      </c>
    </row>
    <row r="1077" spans="1:16" x14ac:dyDescent="0.2">
      <c r="A1077" s="2" t="s">
        <v>1471</v>
      </c>
      <c r="B1077" s="2" t="s">
        <v>46</v>
      </c>
      <c r="C1077" s="2" t="s">
        <v>47</v>
      </c>
      <c r="D1077" s="2" t="s">
        <v>48</v>
      </c>
      <c r="E1077" s="2" t="s">
        <v>68</v>
      </c>
      <c r="F1077" s="2" t="s">
        <v>34</v>
      </c>
      <c r="G1077" s="2" t="s">
        <v>22</v>
      </c>
      <c r="H1077" s="3">
        <v>8225</v>
      </c>
      <c r="I1077" s="4">
        <v>30</v>
      </c>
      <c r="J1077" s="5">
        <v>3.92</v>
      </c>
      <c r="K1077" s="4">
        <v>85</v>
      </c>
      <c r="L1077" s="3">
        <f t="shared" si="48"/>
        <v>1233.7500000000002</v>
      </c>
      <c r="M1077" s="3">
        <f t="shared" si="49"/>
        <v>33.055659919551502</v>
      </c>
      <c r="N1077" s="3">
        <v>113.5</v>
      </c>
      <c r="O1077" s="5">
        <f t="shared" si="50"/>
        <v>29.123929444538771</v>
      </c>
      <c r="P1077" s="2" t="s">
        <v>29</v>
      </c>
    </row>
    <row r="1078" spans="1:16" x14ac:dyDescent="0.2">
      <c r="A1078" s="2" t="s">
        <v>1472</v>
      </c>
      <c r="B1078" s="2" t="s">
        <v>130</v>
      </c>
      <c r="C1078" s="2" t="s">
        <v>53</v>
      </c>
      <c r="D1078" s="2" t="s">
        <v>19</v>
      </c>
      <c r="E1078" s="2" t="s">
        <v>74</v>
      </c>
      <c r="F1078" s="2" t="s">
        <v>21</v>
      </c>
      <c r="G1078" s="2" t="s">
        <v>22</v>
      </c>
      <c r="H1078" s="3">
        <v>12975</v>
      </c>
      <c r="I1078" s="4">
        <v>25</v>
      </c>
      <c r="J1078" s="5">
        <v>5</v>
      </c>
      <c r="K1078" s="4">
        <v>80</v>
      </c>
      <c r="L1078" s="3">
        <f t="shared" si="48"/>
        <v>2594.9999999999995</v>
      </c>
      <c r="M1078" s="3">
        <f t="shared" si="49"/>
        <v>60.680446308528225</v>
      </c>
      <c r="N1078" s="3">
        <v>166</v>
      </c>
      <c r="O1078" s="5">
        <f t="shared" si="50"/>
        <v>36.55448572802905</v>
      </c>
      <c r="P1078" s="2" t="s">
        <v>23</v>
      </c>
    </row>
    <row r="1079" spans="1:16" x14ac:dyDescent="0.2">
      <c r="A1079" s="2" t="s">
        <v>1473</v>
      </c>
      <c r="B1079" s="2" t="s">
        <v>626</v>
      </c>
      <c r="C1079" s="2" t="s">
        <v>53</v>
      </c>
      <c r="D1079" s="2" t="s">
        <v>19</v>
      </c>
      <c r="E1079" s="2" t="s">
        <v>41</v>
      </c>
      <c r="F1079" s="2" t="s">
        <v>34</v>
      </c>
      <c r="G1079" s="2" t="s">
        <v>22</v>
      </c>
      <c r="H1079" s="3">
        <v>8663</v>
      </c>
      <c r="I1079" s="4">
        <v>30</v>
      </c>
      <c r="J1079" s="5">
        <v>4.5999999999999996</v>
      </c>
      <c r="K1079" s="4">
        <v>70</v>
      </c>
      <c r="L1079" s="3">
        <f t="shared" si="48"/>
        <v>2598.9000000000005</v>
      </c>
      <c r="M1079" s="3">
        <f t="shared" si="49"/>
        <v>31.08726713260986</v>
      </c>
      <c r="N1079" s="3">
        <v>141.1</v>
      </c>
      <c r="O1079" s="5">
        <f t="shared" si="50"/>
        <v>22.032081596463403</v>
      </c>
      <c r="P1079" s="2" t="s">
        <v>36</v>
      </c>
    </row>
    <row r="1080" spans="1:16" x14ac:dyDescent="0.2">
      <c r="A1080" s="2" t="s">
        <v>1474</v>
      </c>
      <c r="B1080" s="2" t="s">
        <v>160</v>
      </c>
      <c r="C1080" s="2" t="s">
        <v>175</v>
      </c>
      <c r="D1080" s="2" t="s">
        <v>176</v>
      </c>
      <c r="E1080" s="2" t="s">
        <v>177</v>
      </c>
      <c r="F1080" s="2" t="s">
        <v>28</v>
      </c>
      <c r="G1080" s="2" t="s">
        <v>22</v>
      </c>
      <c r="H1080" s="3">
        <v>12438</v>
      </c>
      <c r="I1080" s="4">
        <v>20</v>
      </c>
      <c r="J1080" s="5">
        <v>4.87</v>
      </c>
      <c r="K1080" s="4">
        <v>80</v>
      </c>
      <c r="L1080" s="3">
        <f t="shared" si="48"/>
        <v>2487.5999999999995</v>
      </c>
      <c r="M1080" s="3">
        <f t="shared" si="49"/>
        <v>64.955756870881572</v>
      </c>
      <c r="N1080" s="3">
        <v>133</v>
      </c>
      <c r="O1080" s="5">
        <f t="shared" si="50"/>
        <v>48.83891494051246</v>
      </c>
      <c r="P1080" s="2" t="s">
        <v>36</v>
      </c>
    </row>
    <row r="1081" spans="1:16" x14ac:dyDescent="0.2">
      <c r="A1081" s="2" t="s">
        <v>1475</v>
      </c>
      <c r="B1081" s="2" t="s">
        <v>653</v>
      </c>
      <c r="C1081" s="2" t="s">
        <v>67</v>
      </c>
      <c r="D1081" s="2" t="s">
        <v>67</v>
      </c>
      <c r="E1081" s="2" t="s">
        <v>49</v>
      </c>
      <c r="F1081" s="2" t="s">
        <v>34</v>
      </c>
      <c r="G1081" s="2" t="s">
        <v>44</v>
      </c>
      <c r="H1081" s="3">
        <v>7999</v>
      </c>
      <c r="I1081" s="4">
        <v>15</v>
      </c>
      <c r="J1081" s="5">
        <v>4.7</v>
      </c>
      <c r="K1081" s="4">
        <v>80</v>
      </c>
      <c r="L1081" s="3">
        <f t="shared" si="48"/>
        <v>1599.7999999999997</v>
      </c>
      <c r="M1081" s="3">
        <f t="shared" si="49"/>
        <v>49.610074677011987</v>
      </c>
      <c r="N1081" s="3">
        <v>89.5</v>
      </c>
      <c r="O1081" s="5">
        <f t="shared" si="50"/>
        <v>55.430251035767583</v>
      </c>
      <c r="P1081" s="2" t="s">
        <v>36</v>
      </c>
    </row>
    <row r="1082" spans="1:16" x14ac:dyDescent="0.2">
      <c r="A1082" s="2" t="s">
        <v>1476</v>
      </c>
      <c r="B1082" s="2" t="s">
        <v>730</v>
      </c>
      <c r="C1082" s="2" t="s">
        <v>26</v>
      </c>
      <c r="D1082" s="2" t="s">
        <v>27</v>
      </c>
      <c r="E1082" s="2" t="s">
        <v>74</v>
      </c>
      <c r="F1082" s="2" t="s">
        <v>50</v>
      </c>
      <c r="G1082" s="2" t="s">
        <v>44</v>
      </c>
      <c r="H1082" s="3">
        <v>17215</v>
      </c>
      <c r="I1082" s="4">
        <v>25</v>
      </c>
      <c r="J1082" s="5">
        <v>4.08</v>
      </c>
      <c r="K1082" s="4">
        <v>80</v>
      </c>
      <c r="L1082" s="3">
        <f t="shared" si="48"/>
        <v>3442.9999999999991</v>
      </c>
      <c r="M1082" s="3">
        <f t="shared" si="49"/>
        <v>73.303408810662447</v>
      </c>
      <c r="N1082" s="3">
        <v>205.3</v>
      </c>
      <c r="O1082" s="5">
        <f t="shared" si="50"/>
        <v>35.705508431886237</v>
      </c>
      <c r="P1082" s="2" t="s">
        <v>36</v>
      </c>
    </row>
    <row r="1083" spans="1:16" x14ac:dyDescent="0.2">
      <c r="A1083" s="2" t="s">
        <v>1477</v>
      </c>
      <c r="B1083" s="2" t="s">
        <v>1330</v>
      </c>
      <c r="C1083" s="2" t="s">
        <v>84</v>
      </c>
      <c r="D1083" s="2" t="s">
        <v>85</v>
      </c>
      <c r="E1083" s="2" t="s">
        <v>41</v>
      </c>
      <c r="F1083" s="2" t="s">
        <v>21</v>
      </c>
      <c r="G1083" s="2" t="s">
        <v>22</v>
      </c>
      <c r="H1083" s="3">
        <v>8351</v>
      </c>
      <c r="I1083" s="4">
        <v>25</v>
      </c>
      <c r="J1083" s="5">
        <v>3.91</v>
      </c>
      <c r="K1083" s="4">
        <v>85</v>
      </c>
      <c r="L1083" s="3">
        <f t="shared" si="48"/>
        <v>1252.6500000000001</v>
      </c>
      <c r="M1083" s="3">
        <f t="shared" si="49"/>
        <v>37.115862905486253</v>
      </c>
      <c r="N1083" s="3">
        <v>139.6</v>
      </c>
      <c r="O1083" s="5">
        <f t="shared" si="50"/>
        <v>26.587294344904194</v>
      </c>
      <c r="P1083" s="2" t="s">
        <v>29</v>
      </c>
    </row>
    <row r="1084" spans="1:16" x14ac:dyDescent="0.2">
      <c r="A1084" s="2" t="s">
        <v>1478</v>
      </c>
      <c r="B1084" s="2" t="s">
        <v>185</v>
      </c>
      <c r="C1084" s="2" t="s">
        <v>77</v>
      </c>
      <c r="D1084" s="2" t="s">
        <v>19</v>
      </c>
      <c r="E1084" s="2" t="s">
        <v>114</v>
      </c>
      <c r="F1084" s="2" t="s">
        <v>34</v>
      </c>
      <c r="G1084" s="2" t="s">
        <v>22</v>
      </c>
      <c r="H1084" s="3">
        <v>8090</v>
      </c>
      <c r="I1084" s="4">
        <v>25</v>
      </c>
      <c r="J1084" s="5">
        <v>4.5</v>
      </c>
      <c r="K1084" s="4">
        <v>75</v>
      </c>
      <c r="L1084" s="3">
        <f t="shared" si="48"/>
        <v>2022.5</v>
      </c>
      <c r="M1084" s="3">
        <f t="shared" si="49"/>
        <v>33.725135600343677</v>
      </c>
      <c r="N1084" s="3">
        <v>143.4</v>
      </c>
      <c r="O1084" s="5">
        <f t="shared" si="50"/>
        <v>23.518225662722227</v>
      </c>
      <c r="P1084" s="2" t="s">
        <v>36</v>
      </c>
    </row>
    <row r="1085" spans="1:16" x14ac:dyDescent="0.2">
      <c r="A1085" s="2" t="s">
        <v>1479</v>
      </c>
      <c r="B1085" s="2" t="s">
        <v>444</v>
      </c>
      <c r="C1085" s="2" t="s">
        <v>56</v>
      </c>
      <c r="D1085" s="2" t="s">
        <v>57</v>
      </c>
      <c r="E1085" s="2" t="s">
        <v>58</v>
      </c>
      <c r="F1085" s="2" t="s">
        <v>34</v>
      </c>
      <c r="G1085" s="2" t="s">
        <v>44</v>
      </c>
      <c r="H1085" s="3">
        <v>17552</v>
      </c>
      <c r="I1085" s="4">
        <v>30</v>
      </c>
      <c r="J1085" s="5">
        <v>4.74</v>
      </c>
      <c r="K1085" s="4">
        <v>90</v>
      </c>
      <c r="L1085" s="3">
        <f t="shared" si="48"/>
        <v>1755.1999999999996</v>
      </c>
      <c r="M1085" s="3">
        <f t="shared" si="49"/>
        <v>82.308397178493365</v>
      </c>
      <c r="N1085" s="3">
        <v>294.60000000000002</v>
      </c>
      <c r="O1085" s="5">
        <f t="shared" si="50"/>
        <v>27.939035023249616</v>
      </c>
      <c r="P1085" s="2" t="s">
        <v>36</v>
      </c>
    </row>
    <row r="1086" spans="1:16" x14ac:dyDescent="0.2">
      <c r="A1086" s="2" t="s">
        <v>1480</v>
      </c>
      <c r="B1086" s="2" t="s">
        <v>413</v>
      </c>
      <c r="C1086" s="2" t="s">
        <v>119</v>
      </c>
      <c r="D1086" s="2" t="s">
        <v>120</v>
      </c>
      <c r="E1086" s="2" t="s">
        <v>177</v>
      </c>
      <c r="F1086" s="2" t="s">
        <v>28</v>
      </c>
      <c r="G1086" s="2" t="s">
        <v>22</v>
      </c>
      <c r="H1086" s="3">
        <v>12003</v>
      </c>
      <c r="I1086" s="4">
        <v>30</v>
      </c>
      <c r="J1086" s="5">
        <v>5.34</v>
      </c>
      <c r="K1086" s="4">
        <v>80</v>
      </c>
      <c r="L1086" s="3">
        <f t="shared" si="48"/>
        <v>2400.5999999999995</v>
      </c>
      <c r="M1086" s="3">
        <f t="shared" si="49"/>
        <v>53.561346093226675</v>
      </c>
      <c r="N1086" s="3">
        <v>145.1</v>
      </c>
      <c r="O1086" s="5">
        <f t="shared" si="50"/>
        <v>36.91340185611763</v>
      </c>
      <c r="P1086" s="2" t="s">
        <v>36</v>
      </c>
    </row>
    <row r="1087" spans="1:16" x14ac:dyDescent="0.2">
      <c r="A1087" s="2" t="s">
        <v>1481</v>
      </c>
      <c r="B1087" s="2" t="s">
        <v>974</v>
      </c>
      <c r="C1087" s="2" t="s">
        <v>91</v>
      </c>
      <c r="D1087" s="2" t="s">
        <v>92</v>
      </c>
      <c r="E1087" s="2" t="s">
        <v>97</v>
      </c>
      <c r="F1087" s="2" t="s">
        <v>21</v>
      </c>
      <c r="G1087" s="2" t="s">
        <v>98</v>
      </c>
      <c r="H1087" s="3">
        <v>4303</v>
      </c>
      <c r="I1087" s="4">
        <v>25</v>
      </c>
      <c r="J1087" s="5">
        <v>5.0999999999999996</v>
      </c>
      <c r="K1087" s="4">
        <v>70</v>
      </c>
      <c r="L1087" s="3">
        <f t="shared" si="48"/>
        <v>1290.9000000000001</v>
      </c>
      <c r="M1087" s="3">
        <f t="shared" si="49"/>
        <v>17.784374311205621</v>
      </c>
      <c r="N1087" s="3">
        <v>68.2</v>
      </c>
      <c r="O1087" s="5">
        <f t="shared" si="50"/>
        <v>26.07679517772085</v>
      </c>
      <c r="P1087" s="2" t="s">
        <v>36</v>
      </c>
    </row>
    <row r="1088" spans="1:16" x14ac:dyDescent="0.2">
      <c r="A1088" s="2" t="s">
        <v>1482</v>
      </c>
      <c r="B1088" s="2" t="s">
        <v>290</v>
      </c>
      <c r="C1088" s="2" t="s">
        <v>77</v>
      </c>
      <c r="D1088" s="2" t="s">
        <v>19</v>
      </c>
      <c r="E1088" s="2" t="s">
        <v>58</v>
      </c>
      <c r="F1088" s="2" t="s">
        <v>21</v>
      </c>
      <c r="G1088" s="2" t="s">
        <v>44</v>
      </c>
      <c r="H1088" s="3">
        <v>10585</v>
      </c>
      <c r="I1088" s="4">
        <v>30</v>
      </c>
      <c r="J1088" s="5">
        <v>3.99</v>
      </c>
      <c r="K1088" s="4">
        <v>85</v>
      </c>
      <c r="L1088" s="3">
        <f t="shared" si="48"/>
        <v>1587.7500000000002</v>
      </c>
      <c r="M1088" s="3">
        <f t="shared" si="49"/>
        <v>42.902393583580597</v>
      </c>
      <c r="N1088" s="3">
        <v>155.5</v>
      </c>
      <c r="O1088" s="5">
        <f t="shared" si="50"/>
        <v>27.589963719344436</v>
      </c>
      <c r="P1088" s="2" t="s">
        <v>36</v>
      </c>
    </row>
    <row r="1089" spans="1:16" x14ac:dyDescent="0.2">
      <c r="A1089" s="2" t="s">
        <v>1483</v>
      </c>
      <c r="B1089" s="2" t="s">
        <v>388</v>
      </c>
      <c r="C1089" s="2" t="s">
        <v>100</v>
      </c>
      <c r="D1089" s="2" t="s">
        <v>32</v>
      </c>
      <c r="E1089" s="2" t="s">
        <v>97</v>
      </c>
      <c r="F1089" s="2" t="s">
        <v>34</v>
      </c>
      <c r="G1089" s="2" t="s">
        <v>44</v>
      </c>
      <c r="H1089" s="3">
        <v>14911</v>
      </c>
      <c r="I1089" s="4">
        <v>25</v>
      </c>
      <c r="J1089" s="5">
        <v>5.24</v>
      </c>
      <c r="K1089" s="4">
        <v>85</v>
      </c>
      <c r="L1089" s="3">
        <f t="shared" si="48"/>
        <v>2236.6500000000005</v>
      </c>
      <c r="M1089" s="3">
        <f t="shared" si="49"/>
        <v>75.87599657669746</v>
      </c>
      <c r="N1089" s="3">
        <v>183.3</v>
      </c>
      <c r="O1089" s="5">
        <f t="shared" si="50"/>
        <v>41.394433484286665</v>
      </c>
      <c r="P1089" s="2" t="s">
        <v>29</v>
      </c>
    </row>
    <row r="1090" spans="1:16" x14ac:dyDescent="0.2">
      <c r="A1090" s="2" t="s">
        <v>1484</v>
      </c>
      <c r="B1090" s="2" t="s">
        <v>168</v>
      </c>
      <c r="C1090" s="2" t="s">
        <v>131</v>
      </c>
      <c r="D1090" s="2" t="s">
        <v>27</v>
      </c>
      <c r="E1090" s="2" t="s">
        <v>33</v>
      </c>
      <c r="F1090" s="2" t="s">
        <v>28</v>
      </c>
      <c r="G1090" s="2" t="s">
        <v>98</v>
      </c>
      <c r="H1090" s="3">
        <v>5242</v>
      </c>
      <c r="I1090" s="4">
        <v>30</v>
      </c>
      <c r="J1090" s="5">
        <v>4.42</v>
      </c>
      <c r="K1090" s="4">
        <v>70</v>
      </c>
      <c r="L1090" s="3">
        <f t="shared" ref="L1090:L1153" si="51">H1090*(1-K1090/100)</f>
        <v>1572.6000000000001</v>
      </c>
      <c r="M1090" s="3">
        <f t="shared" ref="M1090:M1153" si="52">PMT(J1090/100/12, I1090*12, -(H1090*K1090/100))</f>
        <v>18.41829659954778</v>
      </c>
      <c r="N1090" s="3">
        <v>70.3</v>
      </c>
      <c r="O1090" s="5">
        <f t="shared" ref="O1090:O1153" si="53">IFERROR(M1090/N1090*100,0)</f>
        <v>26.199568420409364</v>
      </c>
      <c r="P1090" s="2" t="s">
        <v>69</v>
      </c>
    </row>
    <row r="1091" spans="1:16" x14ac:dyDescent="0.2">
      <c r="A1091" s="2" t="s">
        <v>1485</v>
      </c>
      <c r="B1091" s="2" t="s">
        <v>1135</v>
      </c>
      <c r="C1091" s="2" t="s">
        <v>142</v>
      </c>
      <c r="D1091" s="2" t="s">
        <v>143</v>
      </c>
      <c r="E1091" s="2" t="s">
        <v>74</v>
      </c>
      <c r="F1091" s="2" t="s">
        <v>28</v>
      </c>
      <c r="G1091" s="2" t="s">
        <v>98</v>
      </c>
      <c r="H1091" s="3">
        <v>12067</v>
      </c>
      <c r="I1091" s="4">
        <v>25</v>
      </c>
      <c r="J1091" s="5">
        <v>4.97</v>
      </c>
      <c r="K1091" s="4">
        <v>80</v>
      </c>
      <c r="L1091" s="3">
        <f t="shared" si="51"/>
        <v>2413.3999999999996</v>
      </c>
      <c r="M1091" s="3">
        <f t="shared" si="52"/>
        <v>56.265379744034561</v>
      </c>
      <c r="N1091" s="3">
        <v>130.19999999999999</v>
      </c>
      <c r="O1091" s="5">
        <f t="shared" si="53"/>
        <v>43.214577376370634</v>
      </c>
      <c r="P1091" s="2" t="s">
        <v>36</v>
      </c>
    </row>
    <row r="1092" spans="1:16" x14ac:dyDescent="0.2">
      <c r="A1092" s="2" t="s">
        <v>1486</v>
      </c>
      <c r="B1092" s="2" t="s">
        <v>1050</v>
      </c>
      <c r="C1092" s="2" t="s">
        <v>119</v>
      </c>
      <c r="D1092" s="2" t="s">
        <v>120</v>
      </c>
      <c r="E1092" s="2" t="s">
        <v>33</v>
      </c>
      <c r="F1092" s="2" t="s">
        <v>59</v>
      </c>
      <c r="G1092" s="2" t="s">
        <v>22</v>
      </c>
      <c r="H1092" s="3">
        <v>5013</v>
      </c>
      <c r="I1092" s="4">
        <v>30</v>
      </c>
      <c r="J1092" s="5">
        <v>5.47</v>
      </c>
      <c r="K1092" s="4">
        <v>80</v>
      </c>
      <c r="L1092" s="3">
        <f t="shared" si="51"/>
        <v>1002.5999999999998</v>
      </c>
      <c r="M1092" s="3">
        <f t="shared" si="52"/>
        <v>22.695182010635897</v>
      </c>
      <c r="N1092" s="3">
        <v>62.6</v>
      </c>
      <c r="O1092" s="5">
        <f t="shared" si="53"/>
        <v>36.254284362038177</v>
      </c>
      <c r="P1092" s="2" t="s">
        <v>36</v>
      </c>
    </row>
    <row r="1093" spans="1:16" x14ac:dyDescent="0.2">
      <c r="A1093" s="2" t="s">
        <v>1487</v>
      </c>
      <c r="B1093" s="2" t="s">
        <v>246</v>
      </c>
      <c r="C1093" s="2" t="s">
        <v>131</v>
      </c>
      <c r="D1093" s="2" t="s">
        <v>27</v>
      </c>
      <c r="E1093" s="2" t="s">
        <v>33</v>
      </c>
      <c r="F1093" s="2" t="s">
        <v>50</v>
      </c>
      <c r="G1093" s="2" t="s">
        <v>98</v>
      </c>
      <c r="H1093" s="3">
        <v>13429</v>
      </c>
      <c r="I1093" s="4">
        <v>25</v>
      </c>
      <c r="J1093" s="5">
        <v>4.41</v>
      </c>
      <c r="K1093" s="4">
        <v>70</v>
      </c>
      <c r="L1093" s="3">
        <f t="shared" si="51"/>
        <v>4028.7000000000007</v>
      </c>
      <c r="M1093" s="3">
        <f t="shared" si="52"/>
        <v>51.770875445508445</v>
      </c>
      <c r="N1093" s="3">
        <v>211.7</v>
      </c>
      <c r="O1093" s="5">
        <f t="shared" si="53"/>
        <v>24.45483015848297</v>
      </c>
      <c r="P1093" s="2" t="s">
        <v>36</v>
      </c>
    </row>
    <row r="1094" spans="1:16" x14ac:dyDescent="0.2">
      <c r="A1094" s="2" t="s">
        <v>1488</v>
      </c>
      <c r="B1094" s="2" t="s">
        <v>413</v>
      </c>
      <c r="C1094" s="2" t="s">
        <v>142</v>
      </c>
      <c r="D1094" s="2" t="s">
        <v>143</v>
      </c>
      <c r="E1094" s="2" t="s">
        <v>49</v>
      </c>
      <c r="F1094" s="2" t="s">
        <v>28</v>
      </c>
      <c r="G1094" s="2" t="s">
        <v>22</v>
      </c>
      <c r="H1094" s="3">
        <v>4345</v>
      </c>
      <c r="I1094" s="4">
        <v>20</v>
      </c>
      <c r="J1094" s="5">
        <v>4.1900000000000004</v>
      </c>
      <c r="K1094" s="4">
        <v>90</v>
      </c>
      <c r="L1094" s="3">
        <f t="shared" si="51"/>
        <v>434.49999999999989</v>
      </c>
      <c r="M1094" s="3">
        <f t="shared" si="52"/>
        <v>24.090195762604772</v>
      </c>
      <c r="N1094" s="3">
        <v>55.9</v>
      </c>
      <c r="O1094" s="5">
        <f t="shared" si="53"/>
        <v>43.095162366019267</v>
      </c>
      <c r="P1094" s="2" t="s">
        <v>23</v>
      </c>
    </row>
    <row r="1095" spans="1:16" x14ac:dyDescent="0.2">
      <c r="A1095" s="2" t="s">
        <v>1489</v>
      </c>
      <c r="B1095" s="2" t="s">
        <v>166</v>
      </c>
      <c r="C1095" s="2" t="s">
        <v>62</v>
      </c>
      <c r="D1095" s="2" t="s">
        <v>63</v>
      </c>
      <c r="E1095" s="2" t="s">
        <v>20</v>
      </c>
      <c r="F1095" s="2" t="s">
        <v>50</v>
      </c>
      <c r="G1095" s="2" t="s">
        <v>22</v>
      </c>
      <c r="H1095" s="3">
        <v>10453</v>
      </c>
      <c r="I1095" s="4">
        <v>25</v>
      </c>
      <c r="J1095" s="5">
        <v>5.5</v>
      </c>
      <c r="K1095" s="4">
        <v>80</v>
      </c>
      <c r="L1095" s="3">
        <f t="shared" si="51"/>
        <v>2090.5999999999995</v>
      </c>
      <c r="M1095" s="3">
        <f t="shared" si="52"/>
        <v>51.35245245454567</v>
      </c>
      <c r="N1095" s="3">
        <v>177</v>
      </c>
      <c r="O1095" s="5">
        <f t="shared" si="53"/>
        <v>29.012685002568173</v>
      </c>
      <c r="P1095" s="2" t="s">
        <v>23</v>
      </c>
    </row>
    <row r="1096" spans="1:16" x14ac:dyDescent="0.2">
      <c r="A1096" s="2" t="s">
        <v>1490</v>
      </c>
      <c r="B1096" s="2" t="s">
        <v>610</v>
      </c>
      <c r="C1096" s="2" t="s">
        <v>84</v>
      </c>
      <c r="D1096" s="2" t="s">
        <v>85</v>
      </c>
      <c r="E1096" s="2" t="s">
        <v>177</v>
      </c>
      <c r="F1096" s="2" t="s">
        <v>34</v>
      </c>
      <c r="G1096" s="2" t="s">
        <v>35</v>
      </c>
      <c r="H1096" s="3">
        <v>4288</v>
      </c>
      <c r="I1096" s="4">
        <v>30</v>
      </c>
      <c r="J1096" s="5">
        <v>5.07</v>
      </c>
      <c r="K1096" s="4">
        <v>80</v>
      </c>
      <c r="L1096" s="3">
        <f t="shared" si="51"/>
        <v>857.5999999999998</v>
      </c>
      <c r="M1096" s="3">
        <f t="shared" si="52"/>
        <v>18.562163840640366</v>
      </c>
      <c r="N1096" s="3">
        <v>66.5</v>
      </c>
      <c r="O1096" s="5">
        <f t="shared" si="53"/>
        <v>27.913028331790024</v>
      </c>
      <c r="P1096" s="2" t="s">
        <v>23</v>
      </c>
    </row>
    <row r="1097" spans="1:16" x14ac:dyDescent="0.2">
      <c r="A1097" s="2" t="s">
        <v>1491</v>
      </c>
      <c r="B1097" s="2" t="s">
        <v>1050</v>
      </c>
      <c r="C1097" s="2" t="s">
        <v>56</v>
      </c>
      <c r="D1097" s="2" t="s">
        <v>57</v>
      </c>
      <c r="E1097" s="2" t="s">
        <v>64</v>
      </c>
      <c r="F1097" s="2" t="s">
        <v>21</v>
      </c>
      <c r="G1097" s="2" t="s">
        <v>44</v>
      </c>
      <c r="H1097" s="3">
        <v>7396</v>
      </c>
      <c r="I1097" s="4">
        <v>25</v>
      </c>
      <c r="J1097" s="5">
        <v>5.74</v>
      </c>
      <c r="K1097" s="4">
        <v>75</v>
      </c>
      <c r="L1097" s="3">
        <f t="shared" si="51"/>
        <v>1849</v>
      </c>
      <c r="M1097" s="3">
        <f t="shared" si="52"/>
        <v>34.863019509105321</v>
      </c>
      <c r="N1097" s="3">
        <v>106.3</v>
      </c>
      <c r="O1097" s="5">
        <f t="shared" si="53"/>
        <v>32.796819858048281</v>
      </c>
      <c r="P1097" s="2" t="s">
        <v>29</v>
      </c>
    </row>
    <row r="1098" spans="1:16" x14ac:dyDescent="0.2">
      <c r="A1098" s="2" t="s">
        <v>1492</v>
      </c>
      <c r="B1098" s="2" t="s">
        <v>1111</v>
      </c>
      <c r="C1098" s="2" t="s">
        <v>84</v>
      </c>
      <c r="D1098" s="2" t="s">
        <v>85</v>
      </c>
      <c r="E1098" s="2" t="s">
        <v>114</v>
      </c>
      <c r="F1098" s="2" t="s">
        <v>28</v>
      </c>
      <c r="G1098" s="2" t="s">
        <v>22</v>
      </c>
      <c r="H1098" s="3">
        <v>16904</v>
      </c>
      <c r="I1098" s="4">
        <v>30</v>
      </c>
      <c r="J1098" s="5">
        <v>4.78</v>
      </c>
      <c r="K1098" s="4">
        <v>75</v>
      </c>
      <c r="L1098" s="3">
        <f t="shared" si="51"/>
        <v>4226</v>
      </c>
      <c r="M1098" s="3">
        <f t="shared" si="52"/>
        <v>66.363895014096897</v>
      </c>
      <c r="N1098" s="3">
        <v>178.4</v>
      </c>
      <c r="O1098" s="5">
        <f t="shared" si="53"/>
        <v>37.199492720906328</v>
      </c>
      <c r="P1098" s="2" t="s">
        <v>69</v>
      </c>
    </row>
    <row r="1099" spans="1:16" x14ac:dyDescent="0.2">
      <c r="A1099" s="2" t="s">
        <v>1493</v>
      </c>
      <c r="B1099" s="2" t="s">
        <v>296</v>
      </c>
      <c r="C1099" s="2" t="s">
        <v>67</v>
      </c>
      <c r="D1099" s="2" t="s">
        <v>67</v>
      </c>
      <c r="E1099" s="2" t="s">
        <v>114</v>
      </c>
      <c r="F1099" s="2" t="s">
        <v>50</v>
      </c>
      <c r="G1099" s="2" t="s">
        <v>98</v>
      </c>
      <c r="H1099" s="3">
        <v>8815</v>
      </c>
      <c r="I1099" s="4">
        <v>20</v>
      </c>
      <c r="J1099" s="5">
        <v>5</v>
      </c>
      <c r="K1099" s="4">
        <v>80</v>
      </c>
      <c r="L1099" s="3">
        <f t="shared" si="51"/>
        <v>1762.9999999999995</v>
      </c>
      <c r="M1099" s="3">
        <f t="shared" si="52"/>
        <v>46.54007872955868</v>
      </c>
      <c r="N1099" s="3">
        <v>145.1</v>
      </c>
      <c r="O1099" s="5">
        <f t="shared" si="53"/>
        <v>32.074485685429828</v>
      </c>
      <c r="P1099" s="2" t="s">
        <v>36</v>
      </c>
    </row>
    <row r="1100" spans="1:16" x14ac:dyDescent="0.2">
      <c r="A1100" s="2" t="s">
        <v>1494</v>
      </c>
      <c r="B1100" s="2" t="s">
        <v>332</v>
      </c>
      <c r="C1100" s="2" t="s">
        <v>72</v>
      </c>
      <c r="D1100" s="2" t="s">
        <v>73</v>
      </c>
      <c r="E1100" s="2" t="s">
        <v>58</v>
      </c>
      <c r="F1100" s="2" t="s">
        <v>50</v>
      </c>
      <c r="G1100" s="2" t="s">
        <v>22</v>
      </c>
      <c r="H1100" s="3">
        <v>3532</v>
      </c>
      <c r="I1100" s="4">
        <v>25</v>
      </c>
      <c r="J1100" s="5">
        <v>4.4800000000000004</v>
      </c>
      <c r="K1100" s="4">
        <v>75</v>
      </c>
      <c r="L1100" s="3">
        <f t="shared" si="51"/>
        <v>883</v>
      </c>
      <c r="M1100" s="3">
        <f t="shared" si="52"/>
        <v>14.693946892569656</v>
      </c>
      <c r="N1100" s="3">
        <v>45.1</v>
      </c>
      <c r="O1100" s="5">
        <f t="shared" si="53"/>
        <v>32.580813509023628</v>
      </c>
      <c r="P1100" s="2" t="s">
        <v>29</v>
      </c>
    </row>
    <row r="1101" spans="1:16" x14ac:dyDescent="0.2">
      <c r="A1101" s="2" t="s">
        <v>1495</v>
      </c>
      <c r="B1101" s="2" t="s">
        <v>226</v>
      </c>
      <c r="C1101" s="2" t="s">
        <v>142</v>
      </c>
      <c r="D1101" s="2" t="s">
        <v>143</v>
      </c>
      <c r="E1101" s="2" t="s">
        <v>177</v>
      </c>
      <c r="F1101" s="2" t="s">
        <v>50</v>
      </c>
      <c r="G1101" s="2" t="s">
        <v>44</v>
      </c>
      <c r="H1101" s="3">
        <v>10807</v>
      </c>
      <c r="I1101" s="4">
        <v>30</v>
      </c>
      <c r="J1101" s="5">
        <v>5.21</v>
      </c>
      <c r="K1101" s="4">
        <v>80</v>
      </c>
      <c r="L1101" s="3">
        <f t="shared" si="51"/>
        <v>2161.3999999999996</v>
      </c>
      <c r="M1101" s="3">
        <f t="shared" si="52"/>
        <v>47.527352537404319</v>
      </c>
      <c r="N1101" s="3">
        <v>136.4</v>
      </c>
      <c r="O1101" s="5">
        <f t="shared" si="53"/>
        <v>34.844100100736306</v>
      </c>
      <c r="P1101" s="2" t="s">
        <v>69</v>
      </c>
    </row>
    <row r="1102" spans="1:16" x14ac:dyDescent="0.2">
      <c r="A1102" s="2" t="s">
        <v>1496</v>
      </c>
      <c r="B1102" s="2" t="s">
        <v>955</v>
      </c>
      <c r="C1102" s="2" t="s">
        <v>53</v>
      </c>
      <c r="D1102" s="2" t="s">
        <v>19</v>
      </c>
      <c r="E1102" s="2" t="s">
        <v>97</v>
      </c>
      <c r="F1102" s="2" t="s">
        <v>21</v>
      </c>
      <c r="G1102" s="2" t="s">
        <v>44</v>
      </c>
      <c r="H1102" s="3">
        <v>7932</v>
      </c>
      <c r="I1102" s="4">
        <v>25</v>
      </c>
      <c r="J1102" s="5">
        <v>4.2300000000000004</v>
      </c>
      <c r="K1102" s="4">
        <v>85</v>
      </c>
      <c r="L1102" s="3">
        <f t="shared" si="51"/>
        <v>1189.8000000000002</v>
      </c>
      <c r="M1102" s="3">
        <f t="shared" si="52"/>
        <v>36.449604750982871</v>
      </c>
      <c r="N1102" s="3">
        <v>128.5</v>
      </c>
      <c r="O1102" s="5">
        <f t="shared" si="53"/>
        <v>28.365451168080057</v>
      </c>
      <c r="P1102" s="2" t="s">
        <v>36</v>
      </c>
    </row>
    <row r="1103" spans="1:16" x14ac:dyDescent="0.2">
      <c r="A1103" s="2" t="s">
        <v>1497</v>
      </c>
      <c r="B1103" s="2" t="s">
        <v>459</v>
      </c>
      <c r="C1103" s="2" t="s">
        <v>142</v>
      </c>
      <c r="D1103" s="2" t="s">
        <v>143</v>
      </c>
      <c r="E1103" s="2" t="s">
        <v>97</v>
      </c>
      <c r="F1103" s="2" t="s">
        <v>28</v>
      </c>
      <c r="G1103" s="2" t="s">
        <v>98</v>
      </c>
      <c r="H1103" s="3">
        <v>2114</v>
      </c>
      <c r="I1103" s="4">
        <v>15</v>
      </c>
      <c r="J1103" s="5">
        <v>4.41</v>
      </c>
      <c r="K1103" s="4">
        <v>80</v>
      </c>
      <c r="L1103" s="3">
        <f t="shared" si="51"/>
        <v>422.7999999999999</v>
      </c>
      <c r="M1103" s="3">
        <f t="shared" si="52"/>
        <v>12.859912579256267</v>
      </c>
      <c r="N1103" s="3">
        <v>29.4</v>
      </c>
      <c r="O1103" s="5">
        <f t="shared" si="53"/>
        <v>43.741199249170982</v>
      </c>
      <c r="P1103" s="2" t="s">
        <v>36</v>
      </c>
    </row>
    <row r="1104" spans="1:16" x14ac:dyDescent="0.2">
      <c r="A1104" s="2" t="s">
        <v>1498</v>
      </c>
      <c r="B1104" s="2" t="s">
        <v>17</v>
      </c>
      <c r="C1104" s="2" t="s">
        <v>18</v>
      </c>
      <c r="D1104" s="2" t="s">
        <v>19</v>
      </c>
      <c r="E1104" s="2" t="s">
        <v>64</v>
      </c>
      <c r="F1104" s="2" t="s">
        <v>21</v>
      </c>
      <c r="G1104" s="2" t="s">
        <v>98</v>
      </c>
      <c r="H1104" s="3">
        <v>15532</v>
      </c>
      <c r="I1104" s="4">
        <v>30</v>
      </c>
      <c r="J1104" s="5">
        <v>4.1399999999999997</v>
      </c>
      <c r="K1104" s="4">
        <v>80</v>
      </c>
      <c r="L1104" s="3">
        <f t="shared" si="51"/>
        <v>3106.3999999999992</v>
      </c>
      <c r="M1104" s="3">
        <f t="shared" si="52"/>
        <v>60.328974348171883</v>
      </c>
      <c r="N1104" s="3">
        <v>240.7</v>
      </c>
      <c r="O1104" s="5">
        <f t="shared" si="53"/>
        <v>25.063969400985414</v>
      </c>
      <c r="P1104" s="2" t="s">
        <v>36</v>
      </c>
    </row>
    <row r="1105" spans="1:16" x14ac:dyDescent="0.2">
      <c r="A1105" s="2" t="s">
        <v>1499</v>
      </c>
      <c r="B1105" s="2" t="s">
        <v>274</v>
      </c>
      <c r="C1105" s="2" t="s">
        <v>18</v>
      </c>
      <c r="D1105" s="2" t="s">
        <v>19</v>
      </c>
      <c r="E1105" s="2" t="s">
        <v>41</v>
      </c>
      <c r="F1105" s="2" t="s">
        <v>34</v>
      </c>
      <c r="G1105" s="2" t="s">
        <v>35</v>
      </c>
      <c r="H1105" s="3">
        <v>14691</v>
      </c>
      <c r="I1105" s="4">
        <v>25</v>
      </c>
      <c r="J1105" s="5">
        <v>4.91</v>
      </c>
      <c r="K1105" s="4">
        <v>80</v>
      </c>
      <c r="L1105" s="3">
        <f t="shared" si="51"/>
        <v>2938.1999999999994</v>
      </c>
      <c r="M1105" s="3">
        <f t="shared" si="52"/>
        <v>68.090836043367432</v>
      </c>
      <c r="N1105" s="3">
        <v>155</v>
      </c>
      <c r="O1105" s="5">
        <f t="shared" si="53"/>
        <v>43.929571640882216</v>
      </c>
      <c r="P1105" s="2" t="s">
        <v>23</v>
      </c>
    </row>
    <row r="1106" spans="1:16" x14ac:dyDescent="0.2">
      <c r="A1106" s="2" t="s">
        <v>1500</v>
      </c>
      <c r="B1106" s="2" t="s">
        <v>478</v>
      </c>
      <c r="C1106" s="2" t="s">
        <v>53</v>
      </c>
      <c r="D1106" s="2" t="s">
        <v>19</v>
      </c>
      <c r="E1106" s="2" t="s">
        <v>88</v>
      </c>
      <c r="F1106" s="2" t="s">
        <v>59</v>
      </c>
      <c r="G1106" s="2" t="s">
        <v>35</v>
      </c>
      <c r="H1106" s="3">
        <v>9131</v>
      </c>
      <c r="I1106" s="4">
        <v>20</v>
      </c>
      <c r="J1106" s="5">
        <v>4.21</v>
      </c>
      <c r="K1106" s="4">
        <v>85</v>
      </c>
      <c r="L1106" s="3">
        <f t="shared" si="51"/>
        <v>1369.65</v>
      </c>
      <c r="M1106" s="3">
        <f t="shared" si="52"/>
        <v>47.895521142037197</v>
      </c>
      <c r="N1106" s="3">
        <v>130.4</v>
      </c>
      <c r="O1106" s="5">
        <f t="shared" si="53"/>
        <v>36.72969412732914</v>
      </c>
      <c r="P1106" s="2" t="s">
        <v>29</v>
      </c>
    </row>
    <row r="1107" spans="1:16" x14ac:dyDescent="0.2">
      <c r="A1107" s="2" t="s">
        <v>1501</v>
      </c>
      <c r="B1107" s="2" t="s">
        <v>1340</v>
      </c>
      <c r="C1107" s="2" t="s">
        <v>72</v>
      </c>
      <c r="D1107" s="2" t="s">
        <v>73</v>
      </c>
      <c r="E1107" s="2" t="s">
        <v>41</v>
      </c>
      <c r="F1107" s="2" t="s">
        <v>28</v>
      </c>
      <c r="G1107" s="2" t="s">
        <v>44</v>
      </c>
      <c r="H1107" s="3">
        <v>8614</v>
      </c>
      <c r="I1107" s="4">
        <v>25</v>
      </c>
      <c r="J1107" s="5">
        <v>4.82</v>
      </c>
      <c r="K1107" s="4">
        <v>80</v>
      </c>
      <c r="L1107" s="3">
        <f t="shared" si="51"/>
        <v>1722.7999999999997</v>
      </c>
      <c r="M1107" s="3">
        <f t="shared" si="52"/>
        <v>39.565886875509754</v>
      </c>
      <c r="N1107" s="3">
        <v>120.8</v>
      </c>
      <c r="O1107" s="5">
        <f t="shared" si="53"/>
        <v>32.753217612176947</v>
      </c>
      <c r="P1107" s="2" t="s">
        <v>36</v>
      </c>
    </row>
    <row r="1108" spans="1:16" x14ac:dyDescent="0.2">
      <c r="A1108" s="2" t="s">
        <v>1502</v>
      </c>
      <c r="B1108" s="2" t="s">
        <v>274</v>
      </c>
      <c r="C1108" s="2" t="s">
        <v>39</v>
      </c>
      <c r="D1108" s="2" t="s">
        <v>40</v>
      </c>
      <c r="E1108" s="2" t="s">
        <v>107</v>
      </c>
      <c r="F1108" s="2" t="s">
        <v>59</v>
      </c>
      <c r="G1108" s="2" t="s">
        <v>22</v>
      </c>
      <c r="H1108" s="3">
        <v>17238</v>
      </c>
      <c r="I1108" s="4">
        <v>20</v>
      </c>
      <c r="J1108" s="5">
        <v>5.64</v>
      </c>
      <c r="K1108" s="4">
        <v>80</v>
      </c>
      <c r="L1108" s="3">
        <f t="shared" si="51"/>
        <v>3447.5999999999995</v>
      </c>
      <c r="M1108" s="3">
        <f t="shared" si="52"/>
        <v>95.956144950693471</v>
      </c>
      <c r="N1108" s="3">
        <v>211.3</v>
      </c>
      <c r="O1108" s="5">
        <f t="shared" si="53"/>
        <v>45.412278727256727</v>
      </c>
      <c r="P1108" s="2" t="s">
        <v>36</v>
      </c>
    </row>
    <row r="1109" spans="1:16" x14ac:dyDescent="0.2">
      <c r="A1109" s="2" t="s">
        <v>1503</v>
      </c>
      <c r="B1109" s="2" t="s">
        <v>534</v>
      </c>
      <c r="C1109" s="2" t="s">
        <v>67</v>
      </c>
      <c r="D1109" s="2" t="s">
        <v>67</v>
      </c>
      <c r="E1109" s="2" t="s">
        <v>74</v>
      </c>
      <c r="F1109" s="2" t="s">
        <v>21</v>
      </c>
      <c r="G1109" s="2" t="s">
        <v>35</v>
      </c>
      <c r="H1109" s="3">
        <v>8326</v>
      </c>
      <c r="I1109" s="4">
        <v>25</v>
      </c>
      <c r="J1109" s="5">
        <v>4.88</v>
      </c>
      <c r="K1109" s="4">
        <v>80</v>
      </c>
      <c r="L1109" s="3">
        <f t="shared" si="51"/>
        <v>1665.1999999999996</v>
      </c>
      <c r="M1109" s="3">
        <f t="shared" si="52"/>
        <v>38.474105843498094</v>
      </c>
      <c r="N1109" s="3">
        <v>137.69999999999999</v>
      </c>
      <c r="O1109" s="5">
        <f t="shared" si="53"/>
        <v>27.940527119461215</v>
      </c>
      <c r="P1109" s="2" t="s">
        <v>29</v>
      </c>
    </row>
    <row r="1110" spans="1:16" x14ac:dyDescent="0.2">
      <c r="A1110" s="2" t="s">
        <v>1504</v>
      </c>
      <c r="B1110" s="2" t="s">
        <v>111</v>
      </c>
      <c r="C1110" s="2" t="s">
        <v>119</v>
      </c>
      <c r="D1110" s="2" t="s">
        <v>120</v>
      </c>
      <c r="E1110" s="2" t="s">
        <v>58</v>
      </c>
      <c r="F1110" s="2" t="s">
        <v>21</v>
      </c>
      <c r="G1110" s="2" t="s">
        <v>44</v>
      </c>
      <c r="H1110" s="3">
        <v>10670</v>
      </c>
      <c r="I1110" s="4">
        <v>15</v>
      </c>
      <c r="J1110" s="5">
        <v>5.43</v>
      </c>
      <c r="K1110" s="4">
        <v>80</v>
      </c>
      <c r="L1110" s="3">
        <f t="shared" si="51"/>
        <v>2133.9999999999995</v>
      </c>
      <c r="M1110" s="3">
        <f t="shared" si="52"/>
        <v>69.429572931791554</v>
      </c>
      <c r="N1110" s="3">
        <v>141.19999999999999</v>
      </c>
      <c r="O1110" s="5">
        <f t="shared" si="53"/>
        <v>49.171085645744732</v>
      </c>
      <c r="P1110" s="2" t="s">
        <v>36</v>
      </c>
    </row>
    <row r="1111" spans="1:16" x14ac:dyDescent="0.2">
      <c r="A1111" s="2" t="s">
        <v>1505</v>
      </c>
      <c r="B1111" s="2" t="s">
        <v>1506</v>
      </c>
      <c r="C1111" s="2" t="s">
        <v>53</v>
      </c>
      <c r="D1111" s="2" t="s">
        <v>19</v>
      </c>
      <c r="E1111" s="2" t="s">
        <v>97</v>
      </c>
      <c r="F1111" s="2" t="s">
        <v>28</v>
      </c>
      <c r="G1111" s="2" t="s">
        <v>98</v>
      </c>
      <c r="H1111" s="3">
        <v>12162</v>
      </c>
      <c r="I1111" s="4">
        <v>25</v>
      </c>
      <c r="J1111" s="5">
        <v>5.73</v>
      </c>
      <c r="K1111" s="4">
        <v>90</v>
      </c>
      <c r="L1111" s="3">
        <f t="shared" si="51"/>
        <v>1216.1999999999998</v>
      </c>
      <c r="M1111" s="3">
        <f t="shared" si="52"/>
        <v>68.728499648471285</v>
      </c>
      <c r="N1111" s="3">
        <v>135.80000000000001</v>
      </c>
      <c r="O1111" s="5">
        <f t="shared" si="53"/>
        <v>50.610088106385334</v>
      </c>
      <c r="P1111" s="2" t="s">
        <v>36</v>
      </c>
    </row>
    <row r="1112" spans="1:16" x14ac:dyDescent="0.2">
      <c r="A1112" s="2" t="s">
        <v>1507</v>
      </c>
      <c r="B1112" s="2" t="s">
        <v>189</v>
      </c>
      <c r="C1112" s="2" t="s">
        <v>39</v>
      </c>
      <c r="D1112" s="2" t="s">
        <v>40</v>
      </c>
      <c r="E1112" s="2" t="s">
        <v>49</v>
      </c>
      <c r="F1112" s="2" t="s">
        <v>28</v>
      </c>
      <c r="G1112" s="2" t="s">
        <v>98</v>
      </c>
      <c r="H1112" s="3">
        <v>12584</v>
      </c>
      <c r="I1112" s="4">
        <v>30</v>
      </c>
      <c r="J1112" s="5">
        <v>4.0199999999999996</v>
      </c>
      <c r="K1112" s="4">
        <v>80</v>
      </c>
      <c r="L1112" s="3">
        <f t="shared" si="51"/>
        <v>2516.7999999999993</v>
      </c>
      <c r="M1112" s="3">
        <f t="shared" si="52"/>
        <v>48.178502396588186</v>
      </c>
      <c r="N1112" s="3">
        <v>217.5</v>
      </c>
      <c r="O1112" s="5">
        <f t="shared" si="53"/>
        <v>22.151035584638244</v>
      </c>
      <c r="P1112" s="2" t="s">
        <v>29</v>
      </c>
    </row>
    <row r="1113" spans="1:16" x14ac:dyDescent="0.2">
      <c r="A1113" s="2" t="s">
        <v>1508</v>
      </c>
      <c r="B1113" s="2" t="s">
        <v>377</v>
      </c>
      <c r="C1113" s="2" t="s">
        <v>119</v>
      </c>
      <c r="D1113" s="2" t="s">
        <v>120</v>
      </c>
      <c r="E1113" s="2" t="s">
        <v>114</v>
      </c>
      <c r="F1113" s="2" t="s">
        <v>34</v>
      </c>
      <c r="G1113" s="2" t="s">
        <v>98</v>
      </c>
      <c r="H1113" s="3">
        <v>13231</v>
      </c>
      <c r="I1113" s="4">
        <v>30</v>
      </c>
      <c r="J1113" s="5">
        <v>4.3600000000000003</v>
      </c>
      <c r="K1113" s="4">
        <v>85</v>
      </c>
      <c r="L1113" s="3">
        <f t="shared" si="51"/>
        <v>1984.6500000000003</v>
      </c>
      <c r="M1113" s="3">
        <f t="shared" si="52"/>
        <v>56.051911412139511</v>
      </c>
      <c r="N1113" s="3">
        <v>195.2</v>
      </c>
      <c r="O1113" s="5">
        <f t="shared" si="53"/>
        <v>28.715118551300979</v>
      </c>
      <c r="P1113" s="2" t="s">
        <v>29</v>
      </c>
    </row>
    <row r="1114" spans="1:16" x14ac:dyDescent="0.2">
      <c r="A1114" s="2" t="s">
        <v>1509</v>
      </c>
      <c r="B1114" s="2" t="s">
        <v>1221</v>
      </c>
      <c r="C1114" s="2" t="s">
        <v>39</v>
      </c>
      <c r="D1114" s="2" t="s">
        <v>40</v>
      </c>
      <c r="E1114" s="2" t="s">
        <v>58</v>
      </c>
      <c r="F1114" s="2" t="s">
        <v>34</v>
      </c>
      <c r="G1114" s="2" t="s">
        <v>22</v>
      </c>
      <c r="H1114" s="3">
        <v>17610</v>
      </c>
      <c r="I1114" s="4">
        <v>20</v>
      </c>
      <c r="J1114" s="5">
        <v>4.12</v>
      </c>
      <c r="K1114" s="4">
        <v>70</v>
      </c>
      <c r="L1114" s="3">
        <f t="shared" si="51"/>
        <v>5283.0000000000009</v>
      </c>
      <c r="M1114" s="3">
        <f t="shared" si="52"/>
        <v>75.480953313251959</v>
      </c>
      <c r="N1114" s="3">
        <v>222</v>
      </c>
      <c r="O1114" s="5">
        <f t="shared" si="53"/>
        <v>34.000429420383767</v>
      </c>
      <c r="P1114" s="2" t="s">
        <v>36</v>
      </c>
    </row>
    <row r="1115" spans="1:16" x14ac:dyDescent="0.2">
      <c r="A1115" s="2" t="s">
        <v>1510</v>
      </c>
      <c r="B1115" s="2" t="s">
        <v>230</v>
      </c>
      <c r="C1115" s="2" t="s">
        <v>18</v>
      </c>
      <c r="D1115" s="2" t="s">
        <v>19</v>
      </c>
      <c r="E1115" s="2" t="s">
        <v>81</v>
      </c>
      <c r="F1115" s="2" t="s">
        <v>59</v>
      </c>
      <c r="G1115" s="2" t="s">
        <v>98</v>
      </c>
      <c r="H1115" s="3">
        <v>5437</v>
      </c>
      <c r="I1115" s="4">
        <v>20</v>
      </c>
      <c r="J1115" s="5">
        <v>4.37</v>
      </c>
      <c r="K1115" s="4">
        <v>80</v>
      </c>
      <c r="L1115" s="3">
        <f t="shared" si="51"/>
        <v>1087.3999999999999</v>
      </c>
      <c r="M1115" s="3">
        <f t="shared" si="52"/>
        <v>27.213431026704399</v>
      </c>
      <c r="N1115" s="3">
        <v>62.7</v>
      </c>
      <c r="O1115" s="5">
        <f t="shared" si="53"/>
        <v>43.402601318507813</v>
      </c>
      <c r="P1115" s="2" t="s">
        <v>36</v>
      </c>
    </row>
    <row r="1116" spans="1:16" x14ac:dyDescent="0.2">
      <c r="A1116" s="2" t="s">
        <v>1511</v>
      </c>
      <c r="B1116" s="2" t="s">
        <v>350</v>
      </c>
      <c r="C1116" s="2" t="s">
        <v>100</v>
      </c>
      <c r="D1116" s="2" t="s">
        <v>32</v>
      </c>
      <c r="E1116" s="2" t="s">
        <v>177</v>
      </c>
      <c r="F1116" s="2" t="s">
        <v>21</v>
      </c>
      <c r="G1116" s="2" t="s">
        <v>98</v>
      </c>
      <c r="H1116" s="3">
        <v>5344</v>
      </c>
      <c r="I1116" s="4">
        <v>25</v>
      </c>
      <c r="J1116" s="5">
        <v>4.12</v>
      </c>
      <c r="K1116" s="4">
        <v>90</v>
      </c>
      <c r="L1116" s="3">
        <f t="shared" si="51"/>
        <v>534.39999999999986</v>
      </c>
      <c r="M1116" s="3">
        <f t="shared" si="52"/>
        <v>25.706599392390924</v>
      </c>
      <c r="N1116" s="3">
        <v>76.400000000000006</v>
      </c>
      <c r="O1116" s="5">
        <f t="shared" si="53"/>
        <v>33.647381403653036</v>
      </c>
      <c r="P1116" s="2" t="s">
        <v>36</v>
      </c>
    </row>
    <row r="1117" spans="1:16" x14ac:dyDescent="0.2">
      <c r="A1117" s="2" t="s">
        <v>1512</v>
      </c>
      <c r="B1117" s="2" t="s">
        <v>1513</v>
      </c>
      <c r="C1117" s="2" t="s">
        <v>26</v>
      </c>
      <c r="D1117" s="2" t="s">
        <v>27</v>
      </c>
      <c r="E1117" s="2" t="s">
        <v>81</v>
      </c>
      <c r="F1117" s="2" t="s">
        <v>21</v>
      </c>
      <c r="G1117" s="2" t="s">
        <v>44</v>
      </c>
      <c r="H1117" s="3">
        <v>13421</v>
      </c>
      <c r="I1117" s="4">
        <v>20</v>
      </c>
      <c r="J1117" s="5">
        <v>4.8499999999999996</v>
      </c>
      <c r="K1117" s="4">
        <v>75</v>
      </c>
      <c r="L1117" s="3">
        <f t="shared" si="51"/>
        <v>3355.25</v>
      </c>
      <c r="M1117" s="3">
        <f t="shared" si="52"/>
        <v>65.598252614736253</v>
      </c>
      <c r="N1117" s="3">
        <v>212</v>
      </c>
      <c r="O1117" s="5">
        <f t="shared" si="53"/>
        <v>30.942571988083138</v>
      </c>
      <c r="P1117" s="2" t="s">
        <v>36</v>
      </c>
    </row>
    <row r="1118" spans="1:16" x14ac:dyDescent="0.2">
      <c r="A1118" s="2" t="s">
        <v>1514</v>
      </c>
      <c r="B1118" s="2" t="s">
        <v>692</v>
      </c>
      <c r="C1118" s="2" t="s">
        <v>18</v>
      </c>
      <c r="D1118" s="2" t="s">
        <v>19</v>
      </c>
      <c r="E1118" s="2" t="s">
        <v>88</v>
      </c>
      <c r="F1118" s="2" t="s">
        <v>59</v>
      </c>
      <c r="G1118" s="2" t="s">
        <v>22</v>
      </c>
      <c r="H1118" s="3">
        <v>11203</v>
      </c>
      <c r="I1118" s="4">
        <v>15</v>
      </c>
      <c r="J1118" s="5">
        <v>4.49</v>
      </c>
      <c r="K1118" s="4">
        <v>80</v>
      </c>
      <c r="L1118" s="3">
        <f t="shared" si="51"/>
        <v>2240.5999999999995</v>
      </c>
      <c r="M1118" s="3">
        <f t="shared" si="52"/>
        <v>68.515962848720761</v>
      </c>
      <c r="N1118" s="3">
        <v>191.9</v>
      </c>
      <c r="O1118" s="5">
        <f t="shared" si="53"/>
        <v>35.70399314680602</v>
      </c>
      <c r="P1118" s="2" t="s">
        <v>36</v>
      </c>
    </row>
    <row r="1119" spans="1:16" x14ac:dyDescent="0.2">
      <c r="A1119" s="2" t="s">
        <v>1515</v>
      </c>
      <c r="B1119" s="2" t="s">
        <v>574</v>
      </c>
      <c r="C1119" s="2" t="s">
        <v>175</v>
      </c>
      <c r="D1119" s="2" t="s">
        <v>176</v>
      </c>
      <c r="E1119" s="2" t="s">
        <v>81</v>
      </c>
      <c r="F1119" s="2" t="s">
        <v>21</v>
      </c>
      <c r="G1119" s="2" t="s">
        <v>35</v>
      </c>
      <c r="H1119" s="3">
        <v>5414</v>
      </c>
      <c r="I1119" s="4">
        <v>30</v>
      </c>
      <c r="J1119" s="5">
        <v>4.0999999999999996</v>
      </c>
      <c r="K1119" s="4">
        <v>75</v>
      </c>
      <c r="L1119" s="3">
        <f t="shared" si="51"/>
        <v>1353.5</v>
      </c>
      <c r="M1119" s="3">
        <f t="shared" si="52"/>
        <v>19.620269858616513</v>
      </c>
      <c r="N1119" s="3">
        <v>61.6</v>
      </c>
      <c r="O1119" s="5">
        <f t="shared" si="53"/>
        <v>31.851087432819014</v>
      </c>
      <c r="P1119" s="2" t="s">
        <v>36</v>
      </c>
    </row>
    <row r="1120" spans="1:16" x14ac:dyDescent="0.2">
      <c r="A1120" s="2" t="s">
        <v>1516</v>
      </c>
      <c r="B1120" s="2" t="s">
        <v>532</v>
      </c>
      <c r="C1120" s="2" t="s">
        <v>100</v>
      </c>
      <c r="D1120" s="2" t="s">
        <v>32</v>
      </c>
      <c r="E1120" s="2" t="s">
        <v>64</v>
      </c>
      <c r="F1120" s="2" t="s">
        <v>59</v>
      </c>
      <c r="G1120" s="2" t="s">
        <v>44</v>
      </c>
      <c r="H1120" s="3">
        <v>13581</v>
      </c>
      <c r="I1120" s="4">
        <v>25</v>
      </c>
      <c r="J1120" s="5">
        <v>4.99</v>
      </c>
      <c r="K1120" s="4">
        <v>80</v>
      </c>
      <c r="L1120" s="3">
        <f t="shared" si="51"/>
        <v>2716.1999999999994</v>
      </c>
      <c r="M1120" s="3">
        <f t="shared" si="52"/>
        <v>63.451253756636525</v>
      </c>
      <c r="N1120" s="3">
        <v>196.2</v>
      </c>
      <c r="O1120" s="5">
        <f t="shared" si="53"/>
        <v>32.340088560976824</v>
      </c>
      <c r="P1120" s="2" t="s">
        <v>29</v>
      </c>
    </row>
    <row r="1121" spans="1:16" x14ac:dyDescent="0.2">
      <c r="A1121" s="2" t="s">
        <v>1517</v>
      </c>
      <c r="B1121" s="2" t="s">
        <v>594</v>
      </c>
      <c r="C1121" s="2" t="s">
        <v>26</v>
      </c>
      <c r="D1121" s="2" t="s">
        <v>27</v>
      </c>
      <c r="E1121" s="2" t="s">
        <v>33</v>
      </c>
      <c r="F1121" s="2" t="s">
        <v>34</v>
      </c>
      <c r="G1121" s="2" t="s">
        <v>22</v>
      </c>
      <c r="H1121" s="3">
        <v>4427</v>
      </c>
      <c r="I1121" s="4">
        <v>30</v>
      </c>
      <c r="J1121" s="5">
        <v>5.71</v>
      </c>
      <c r="K1121" s="4">
        <v>90</v>
      </c>
      <c r="L1121" s="3">
        <f t="shared" si="51"/>
        <v>442.69999999999987</v>
      </c>
      <c r="M1121" s="3">
        <f t="shared" si="52"/>
        <v>23.150149267772175</v>
      </c>
      <c r="N1121" s="3">
        <v>75.2</v>
      </c>
      <c r="O1121" s="5">
        <f t="shared" si="53"/>
        <v>30.784772962462998</v>
      </c>
      <c r="P1121" s="2" t="s">
        <v>36</v>
      </c>
    </row>
    <row r="1122" spans="1:16" x14ac:dyDescent="0.2">
      <c r="A1122" s="2" t="s">
        <v>1518</v>
      </c>
      <c r="B1122" s="2" t="s">
        <v>264</v>
      </c>
      <c r="C1122" s="2" t="s">
        <v>47</v>
      </c>
      <c r="D1122" s="2" t="s">
        <v>48</v>
      </c>
      <c r="E1122" s="2" t="s">
        <v>64</v>
      </c>
      <c r="F1122" s="2" t="s">
        <v>28</v>
      </c>
      <c r="G1122" s="2" t="s">
        <v>22</v>
      </c>
      <c r="H1122" s="3">
        <v>9514</v>
      </c>
      <c r="I1122" s="4">
        <v>30</v>
      </c>
      <c r="J1122" s="5">
        <v>5.54</v>
      </c>
      <c r="K1122" s="4">
        <v>75</v>
      </c>
      <c r="L1122" s="3">
        <f t="shared" si="51"/>
        <v>2378.5</v>
      </c>
      <c r="M1122" s="3">
        <f t="shared" si="52"/>
        <v>40.693841952313925</v>
      </c>
      <c r="N1122" s="3">
        <v>141.4</v>
      </c>
      <c r="O1122" s="5">
        <f t="shared" si="53"/>
        <v>28.779237590038136</v>
      </c>
      <c r="P1122" s="2" t="s">
        <v>36</v>
      </c>
    </row>
    <row r="1123" spans="1:16" x14ac:dyDescent="0.2">
      <c r="A1123" s="2" t="s">
        <v>1519</v>
      </c>
      <c r="B1123" s="2" t="s">
        <v>821</v>
      </c>
      <c r="C1123" s="2" t="s">
        <v>47</v>
      </c>
      <c r="D1123" s="2" t="s">
        <v>48</v>
      </c>
      <c r="E1123" s="2" t="s">
        <v>68</v>
      </c>
      <c r="F1123" s="2" t="s">
        <v>28</v>
      </c>
      <c r="G1123" s="2" t="s">
        <v>44</v>
      </c>
      <c r="H1123" s="3">
        <v>5326</v>
      </c>
      <c r="I1123" s="4">
        <v>20</v>
      </c>
      <c r="J1123" s="5">
        <v>4.7300000000000004</v>
      </c>
      <c r="K1123" s="4">
        <v>85</v>
      </c>
      <c r="L1123" s="3">
        <f t="shared" si="51"/>
        <v>798.90000000000009</v>
      </c>
      <c r="M1123" s="3">
        <f t="shared" si="52"/>
        <v>29.205764359562668</v>
      </c>
      <c r="N1123" s="3">
        <v>68.5</v>
      </c>
      <c r="O1123" s="5">
        <f t="shared" si="53"/>
        <v>42.636152349726522</v>
      </c>
      <c r="P1123" s="2" t="s">
        <v>36</v>
      </c>
    </row>
    <row r="1124" spans="1:16" x14ac:dyDescent="0.2">
      <c r="A1124" s="2" t="s">
        <v>1520</v>
      </c>
      <c r="B1124" s="2" t="s">
        <v>534</v>
      </c>
      <c r="C1124" s="2" t="s">
        <v>32</v>
      </c>
      <c r="D1124" s="2" t="s">
        <v>32</v>
      </c>
      <c r="E1124" s="2" t="s">
        <v>81</v>
      </c>
      <c r="F1124" s="2" t="s">
        <v>50</v>
      </c>
      <c r="G1124" s="2" t="s">
        <v>22</v>
      </c>
      <c r="H1124" s="3">
        <v>8779</v>
      </c>
      <c r="I1124" s="4">
        <v>25</v>
      </c>
      <c r="J1124" s="5">
        <v>5.47</v>
      </c>
      <c r="K1124" s="4">
        <v>90</v>
      </c>
      <c r="L1124" s="3">
        <f t="shared" si="51"/>
        <v>877.89999999999975</v>
      </c>
      <c r="M1124" s="3">
        <f t="shared" si="52"/>
        <v>48.378214191076339</v>
      </c>
      <c r="N1124" s="3">
        <v>104.2</v>
      </c>
      <c r="O1124" s="5">
        <f t="shared" si="53"/>
        <v>46.428228590284391</v>
      </c>
      <c r="P1124" s="2" t="s">
        <v>29</v>
      </c>
    </row>
    <row r="1125" spans="1:16" x14ac:dyDescent="0.2">
      <c r="A1125" s="2" t="s">
        <v>1521</v>
      </c>
      <c r="B1125" s="2" t="s">
        <v>388</v>
      </c>
      <c r="C1125" s="2" t="s">
        <v>47</v>
      </c>
      <c r="D1125" s="2" t="s">
        <v>48</v>
      </c>
      <c r="E1125" s="2" t="s">
        <v>58</v>
      </c>
      <c r="F1125" s="2" t="s">
        <v>34</v>
      </c>
      <c r="G1125" s="2" t="s">
        <v>44</v>
      </c>
      <c r="H1125" s="3">
        <v>15162</v>
      </c>
      <c r="I1125" s="4">
        <v>25</v>
      </c>
      <c r="J1125" s="5">
        <v>3.99</v>
      </c>
      <c r="K1125" s="4">
        <v>80</v>
      </c>
      <c r="L1125" s="3">
        <f t="shared" si="51"/>
        <v>3032.3999999999992</v>
      </c>
      <c r="M1125" s="3">
        <f t="shared" si="52"/>
        <v>63.957542252831615</v>
      </c>
      <c r="N1125" s="3">
        <v>170.7</v>
      </c>
      <c r="O1125" s="5">
        <f t="shared" si="53"/>
        <v>37.467804483205406</v>
      </c>
      <c r="P1125" s="2" t="s">
        <v>29</v>
      </c>
    </row>
    <row r="1126" spans="1:16" x14ac:dyDescent="0.2">
      <c r="A1126" s="2" t="s">
        <v>1522</v>
      </c>
      <c r="B1126" s="2" t="s">
        <v>194</v>
      </c>
      <c r="C1126" s="2" t="s">
        <v>100</v>
      </c>
      <c r="D1126" s="2" t="s">
        <v>32</v>
      </c>
      <c r="E1126" s="2" t="s">
        <v>64</v>
      </c>
      <c r="F1126" s="2" t="s">
        <v>50</v>
      </c>
      <c r="G1126" s="2" t="s">
        <v>35</v>
      </c>
      <c r="H1126" s="3">
        <v>14287</v>
      </c>
      <c r="I1126" s="4">
        <v>30</v>
      </c>
      <c r="J1126" s="5">
        <v>4.9800000000000004</v>
      </c>
      <c r="K1126" s="4">
        <v>70</v>
      </c>
      <c r="L1126" s="3">
        <f t="shared" si="51"/>
        <v>4286.1000000000004</v>
      </c>
      <c r="M1126" s="3">
        <f t="shared" si="52"/>
        <v>53.564817743276308</v>
      </c>
      <c r="N1126" s="3">
        <v>156.6</v>
      </c>
      <c r="O1126" s="5">
        <f t="shared" si="53"/>
        <v>34.204864459307984</v>
      </c>
      <c r="P1126" s="2" t="s">
        <v>36</v>
      </c>
    </row>
    <row r="1127" spans="1:16" x14ac:dyDescent="0.2">
      <c r="A1127" s="2" t="s">
        <v>1523</v>
      </c>
      <c r="B1127" s="2" t="s">
        <v>152</v>
      </c>
      <c r="C1127" s="2" t="s">
        <v>131</v>
      </c>
      <c r="D1127" s="2" t="s">
        <v>27</v>
      </c>
      <c r="E1127" s="2" t="s">
        <v>58</v>
      </c>
      <c r="F1127" s="2" t="s">
        <v>50</v>
      </c>
      <c r="G1127" s="2" t="s">
        <v>22</v>
      </c>
      <c r="H1127" s="3">
        <v>13833</v>
      </c>
      <c r="I1127" s="4">
        <v>25</v>
      </c>
      <c r="J1127" s="5">
        <v>3.9</v>
      </c>
      <c r="K1127" s="4">
        <v>90</v>
      </c>
      <c r="L1127" s="3">
        <f t="shared" si="51"/>
        <v>1383.2999999999997</v>
      </c>
      <c r="M1127" s="3">
        <f t="shared" si="52"/>
        <v>65.028639160959514</v>
      </c>
      <c r="N1127" s="3">
        <v>153.1</v>
      </c>
      <c r="O1127" s="5">
        <f t="shared" si="53"/>
        <v>42.4746173487652</v>
      </c>
      <c r="P1127" s="2" t="s">
        <v>23</v>
      </c>
    </row>
    <row r="1128" spans="1:16" x14ac:dyDescent="0.2">
      <c r="A1128" s="2" t="s">
        <v>1524</v>
      </c>
      <c r="B1128" s="2" t="s">
        <v>155</v>
      </c>
      <c r="C1128" s="2" t="s">
        <v>32</v>
      </c>
      <c r="D1128" s="2" t="s">
        <v>32</v>
      </c>
      <c r="E1128" s="2" t="s">
        <v>74</v>
      </c>
      <c r="F1128" s="2" t="s">
        <v>34</v>
      </c>
      <c r="G1128" s="2" t="s">
        <v>22</v>
      </c>
      <c r="H1128" s="3">
        <v>11170</v>
      </c>
      <c r="I1128" s="4">
        <v>25</v>
      </c>
      <c r="J1128" s="5">
        <v>4.24</v>
      </c>
      <c r="K1128" s="4">
        <v>85</v>
      </c>
      <c r="L1128" s="3">
        <f t="shared" si="51"/>
        <v>1675.5000000000002</v>
      </c>
      <c r="M1128" s="3">
        <f t="shared" si="52"/>
        <v>51.382176133699616</v>
      </c>
      <c r="N1128" s="3">
        <v>151.69999999999999</v>
      </c>
      <c r="O1128" s="5">
        <f t="shared" si="53"/>
        <v>33.870913733486894</v>
      </c>
      <c r="P1128" s="2" t="s">
        <v>36</v>
      </c>
    </row>
    <row r="1129" spans="1:16" x14ac:dyDescent="0.2">
      <c r="A1129" s="2" t="s">
        <v>1525</v>
      </c>
      <c r="B1129" s="2" t="s">
        <v>353</v>
      </c>
      <c r="C1129" s="2" t="s">
        <v>53</v>
      </c>
      <c r="D1129" s="2" t="s">
        <v>19</v>
      </c>
      <c r="E1129" s="2" t="s">
        <v>33</v>
      </c>
      <c r="F1129" s="2" t="s">
        <v>50</v>
      </c>
      <c r="G1129" s="2" t="s">
        <v>98</v>
      </c>
      <c r="H1129" s="3">
        <v>11154</v>
      </c>
      <c r="I1129" s="4">
        <v>25</v>
      </c>
      <c r="J1129" s="5">
        <v>5.56</v>
      </c>
      <c r="K1129" s="4">
        <v>85</v>
      </c>
      <c r="L1129" s="3">
        <f t="shared" si="51"/>
        <v>1673.1000000000001</v>
      </c>
      <c r="M1129" s="3">
        <f t="shared" si="52"/>
        <v>58.561225620066764</v>
      </c>
      <c r="N1129" s="3">
        <v>136.30000000000001</v>
      </c>
      <c r="O1129" s="5">
        <f t="shared" si="53"/>
        <v>42.964949097627851</v>
      </c>
      <c r="P1129" s="2" t="s">
        <v>23</v>
      </c>
    </row>
    <row r="1130" spans="1:16" x14ac:dyDescent="0.2">
      <c r="A1130" s="2" t="s">
        <v>1526</v>
      </c>
      <c r="B1130" s="2" t="s">
        <v>974</v>
      </c>
      <c r="C1130" s="2" t="s">
        <v>62</v>
      </c>
      <c r="D1130" s="2" t="s">
        <v>63</v>
      </c>
      <c r="E1130" s="2" t="s">
        <v>114</v>
      </c>
      <c r="F1130" s="2" t="s">
        <v>21</v>
      </c>
      <c r="G1130" s="2" t="s">
        <v>35</v>
      </c>
      <c r="H1130" s="3">
        <v>12831</v>
      </c>
      <c r="I1130" s="4">
        <v>20</v>
      </c>
      <c r="J1130" s="5">
        <v>4.6900000000000004</v>
      </c>
      <c r="K1130" s="4">
        <v>80</v>
      </c>
      <c r="L1130" s="3">
        <f t="shared" si="51"/>
        <v>2566.1999999999994</v>
      </c>
      <c r="M1130" s="3">
        <f t="shared" si="52"/>
        <v>65.99767054543203</v>
      </c>
      <c r="N1130" s="3">
        <v>214.2</v>
      </c>
      <c r="O1130" s="5">
        <f t="shared" si="53"/>
        <v>30.81123741616808</v>
      </c>
      <c r="P1130" s="2" t="s">
        <v>36</v>
      </c>
    </row>
    <row r="1131" spans="1:16" x14ac:dyDescent="0.2">
      <c r="A1131" s="2" t="s">
        <v>1527</v>
      </c>
      <c r="B1131" s="2" t="s">
        <v>355</v>
      </c>
      <c r="C1131" s="2" t="s">
        <v>26</v>
      </c>
      <c r="D1131" s="2" t="s">
        <v>27</v>
      </c>
      <c r="E1131" s="2" t="s">
        <v>88</v>
      </c>
      <c r="F1131" s="2" t="s">
        <v>59</v>
      </c>
      <c r="G1131" s="2" t="s">
        <v>98</v>
      </c>
      <c r="H1131" s="3">
        <v>13958</v>
      </c>
      <c r="I1131" s="4">
        <v>20</v>
      </c>
      <c r="J1131" s="5">
        <v>4.16</v>
      </c>
      <c r="K1131" s="4">
        <v>75</v>
      </c>
      <c r="L1131" s="3">
        <f t="shared" si="51"/>
        <v>3489.5</v>
      </c>
      <c r="M1131" s="3">
        <f t="shared" si="52"/>
        <v>64.32311055914397</v>
      </c>
      <c r="N1131" s="3">
        <v>159.4</v>
      </c>
      <c r="O1131" s="5">
        <f t="shared" si="53"/>
        <v>40.353268857681286</v>
      </c>
      <c r="P1131" s="2" t="s">
        <v>29</v>
      </c>
    </row>
    <row r="1132" spans="1:16" x14ac:dyDescent="0.2">
      <c r="A1132" s="2" t="s">
        <v>1528</v>
      </c>
      <c r="B1132" s="2" t="s">
        <v>574</v>
      </c>
      <c r="C1132" s="2" t="s">
        <v>53</v>
      </c>
      <c r="D1132" s="2" t="s">
        <v>19</v>
      </c>
      <c r="E1132" s="2" t="s">
        <v>20</v>
      </c>
      <c r="F1132" s="2" t="s">
        <v>28</v>
      </c>
      <c r="G1132" s="2" t="s">
        <v>44</v>
      </c>
      <c r="H1132" s="3">
        <v>7793</v>
      </c>
      <c r="I1132" s="4">
        <v>15</v>
      </c>
      <c r="J1132" s="5">
        <v>4.32</v>
      </c>
      <c r="K1132" s="4">
        <v>80</v>
      </c>
      <c r="L1132" s="3">
        <f t="shared" si="51"/>
        <v>1558.5999999999997</v>
      </c>
      <c r="M1132" s="3">
        <f t="shared" si="52"/>
        <v>47.121220205019931</v>
      </c>
      <c r="N1132" s="3">
        <v>85.9</v>
      </c>
      <c r="O1132" s="5">
        <f t="shared" si="53"/>
        <v>54.85590245054707</v>
      </c>
      <c r="P1132" s="2" t="s">
        <v>69</v>
      </c>
    </row>
    <row r="1133" spans="1:16" x14ac:dyDescent="0.2">
      <c r="A1133" s="2" t="s">
        <v>1529</v>
      </c>
      <c r="B1133" s="2" t="s">
        <v>160</v>
      </c>
      <c r="C1133" s="2" t="s">
        <v>146</v>
      </c>
      <c r="D1133" s="2" t="s">
        <v>19</v>
      </c>
      <c r="E1133" s="2" t="s">
        <v>41</v>
      </c>
      <c r="F1133" s="2" t="s">
        <v>34</v>
      </c>
      <c r="G1133" s="2" t="s">
        <v>44</v>
      </c>
      <c r="H1133" s="3">
        <v>13555</v>
      </c>
      <c r="I1133" s="4">
        <v>15</v>
      </c>
      <c r="J1133" s="5">
        <v>5.76</v>
      </c>
      <c r="K1133" s="4">
        <v>80</v>
      </c>
      <c r="L1133" s="3">
        <f t="shared" si="51"/>
        <v>2710.9999999999995</v>
      </c>
      <c r="M1133" s="3">
        <f t="shared" si="52"/>
        <v>90.107746924569398</v>
      </c>
      <c r="N1133" s="3">
        <v>208</v>
      </c>
      <c r="O1133" s="5">
        <f t="shared" si="53"/>
        <v>43.32103217527375</v>
      </c>
      <c r="P1133" s="2" t="s">
        <v>36</v>
      </c>
    </row>
    <row r="1134" spans="1:16" x14ac:dyDescent="0.2">
      <c r="A1134" s="2" t="s">
        <v>1530</v>
      </c>
      <c r="B1134" s="2" t="s">
        <v>411</v>
      </c>
      <c r="C1134" s="2" t="s">
        <v>18</v>
      </c>
      <c r="D1134" s="2" t="s">
        <v>19</v>
      </c>
      <c r="E1134" s="2" t="s">
        <v>114</v>
      </c>
      <c r="F1134" s="2" t="s">
        <v>50</v>
      </c>
      <c r="G1134" s="2" t="s">
        <v>35</v>
      </c>
      <c r="H1134" s="3">
        <v>13942</v>
      </c>
      <c r="I1134" s="4">
        <v>25</v>
      </c>
      <c r="J1134" s="5">
        <v>4.7300000000000004</v>
      </c>
      <c r="K1134" s="4">
        <v>85</v>
      </c>
      <c r="L1134" s="3">
        <f t="shared" si="51"/>
        <v>2091.3000000000002</v>
      </c>
      <c r="M1134" s="3">
        <f t="shared" si="52"/>
        <v>67.426646131909351</v>
      </c>
      <c r="N1134" s="3">
        <v>151.6</v>
      </c>
      <c r="O1134" s="5">
        <f t="shared" si="53"/>
        <v>44.476679506536513</v>
      </c>
      <c r="P1134" s="2" t="s">
        <v>36</v>
      </c>
    </row>
    <row r="1135" spans="1:16" x14ac:dyDescent="0.2">
      <c r="A1135" s="2" t="s">
        <v>1531</v>
      </c>
      <c r="B1135" s="2" t="s">
        <v>272</v>
      </c>
      <c r="C1135" s="2" t="s">
        <v>26</v>
      </c>
      <c r="D1135" s="2" t="s">
        <v>27</v>
      </c>
      <c r="E1135" s="2" t="s">
        <v>114</v>
      </c>
      <c r="F1135" s="2" t="s">
        <v>28</v>
      </c>
      <c r="G1135" s="2" t="s">
        <v>22</v>
      </c>
      <c r="H1135" s="3">
        <v>2097</v>
      </c>
      <c r="I1135" s="4">
        <v>25</v>
      </c>
      <c r="J1135" s="5">
        <v>4.13</v>
      </c>
      <c r="K1135" s="4">
        <v>70</v>
      </c>
      <c r="L1135" s="3">
        <f t="shared" si="51"/>
        <v>629.10000000000014</v>
      </c>
      <c r="M1135" s="3">
        <f t="shared" si="52"/>
        <v>7.8538703360583737</v>
      </c>
      <c r="N1135" s="3">
        <v>35</v>
      </c>
      <c r="O1135" s="5">
        <f t="shared" si="53"/>
        <v>22.439629531595354</v>
      </c>
      <c r="P1135" s="2" t="s">
        <v>29</v>
      </c>
    </row>
    <row r="1136" spans="1:16" x14ac:dyDescent="0.2">
      <c r="A1136" s="2" t="s">
        <v>1532</v>
      </c>
      <c r="B1136" s="2" t="s">
        <v>189</v>
      </c>
      <c r="C1136" s="2" t="s">
        <v>32</v>
      </c>
      <c r="D1136" s="2" t="s">
        <v>32</v>
      </c>
      <c r="E1136" s="2" t="s">
        <v>58</v>
      </c>
      <c r="F1136" s="2" t="s">
        <v>50</v>
      </c>
      <c r="G1136" s="2" t="s">
        <v>44</v>
      </c>
      <c r="H1136" s="3">
        <v>10093</v>
      </c>
      <c r="I1136" s="4">
        <v>30</v>
      </c>
      <c r="J1136" s="5">
        <v>3.95</v>
      </c>
      <c r="K1136" s="4">
        <v>85</v>
      </c>
      <c r="L1136" s="3">
        <f t="shared" si="51"/>
        <v>1513.9500000000003</v>
      </c>
      <c r="M1136" s="3">
        <f t="shared" si="52"/>
        <v>40.710786735465021</v>
      </c>
      <c r="N1136" s="3">
        <v>120</v>
      </c>
      <c r="O1136" s="5">
        <f t="shared" si="53"/>
        <v>33.925655612887518</v>
      </c>
      <c r="P1136" s="2" t="s">
        <v>36</v>
      </c>
    </row>
    <row r="1137" spans="1:16" x14ac:dyDescent="0.2">
      <c r="A1137" s="2" t="s">
        <v>1533</v>
      </c>
      <c r="B1137" s="2" t="s">
        <v>250</v>
      </c>
      <c r="C1137" s="2" t="s">
        <v>119</v>
      </c>
      <c r="D1137" s="2" t="s">
        <v>120</v>
      </c>
      <c r="E1137" s="2" t="s">
        <v>74</v>
      </c>
      <c r="F1137" s="2" t="s">
        <v>21</v>
      </c>
      <c r="G1137" s="2" t="s">
        <v>22</v>
      </c>
      <c r="H1137" s="3">
        <v>7478</v>
      </c>
      <c r="I1137" s="4">
        <v>15</v>
      </c>
      <c r="J1137" s="5">
        <v>5.3</v>
      </c>
      <c r="K1137" s="4">
        <v>80</v>
      </c>
      <c r="L1137" s="3">
        <f t="shared" si="51"/>
        <v>1495.5999999999997</v>
      </c>
      <c r="M1137" s="3">
        <f t="shared" si="52"/>
        <v>48.248603693207372</v>
      </c>
      <c r="N1137" s="3">
        <v>93.6</v>
      </c>
      <c r="O1137" s="5">
        <f t="shared" si="53"/>
        <v>51.547653518383953</v>
      </c>
      <c r="P1137" s="2" t="s">
        <v>36</v>
      </c>
    </row>
    <row r="1138" spans="1:16" x14ac:dyDescent="0.2">
      <c r="A1138" s="2" t="s">
        <v>1534</v>
      </c>
      <c r="B1138" s="2" t="s">
        <v>226</v>
      </c>
      <c r="C1138" s="2" t="s">
        <v>91</v>
      </c>
      <c r="D1138" s="2" t="s">
        <v>92</v>
      </c>
      <c r="E1138" s="2" t="s">
        <v>64</v>
      </c>
      <c r="F1138" s="2" t="s">
        <v>21</v>
      </c>
      <c r="G1138" s="2" t="s">
        <v>22</v>
      </c>
      <c r="H1138" s="3">
        <v>7254</v>
      </c>
      <c r="I1138" s="4">
        <v>25</v>
      </c>
      <c r="J1138" s="5">
        <v>5.0199999999999996</v>
      </c>
      <c r="K1138" s="4">
        <v>80</v>
      </c>
      <c r="L1138" s="3">
        <f t="shared" si="51"/>
        <v>1450.7999999999997</v>
      </c>
      <c r="M1138" s="3">
        <f t="shared" si="52"/>
        <v>33.992585541037094</v>
      </c>
      <c r="N1138" s="3">
        <v>88.7</v>
      </c>
      <c r="O1138" s="5">
        <f t="shared" si="53"/>
        <v>38.323095311203033</v>
      </c>
      <c r="P1138" s="2" t="s">
        <v>36</v>
      </c>
    </row>
    <row r="1139" spans="1:16" x14ac:dyDescent="0.2">
      <c r="A1139" s="2" t="s">
        <v>1535</v>
      </c>
      <c r="B1139" s="2" t="s">
        <v>330</v>
      </c>
      <c r="C1139" s="2" t="s">
        <v>131</v>
      </c>
      <c r="D1139" s="2" t="s">
        <v>27</v>
      </c>
      <c r="E1139" s="2" t="s">
        <v>68</v>
      </c>
      <c r="F1139" s="2" t="s">
        <v>50</v>
      </c>
      <c r="G1139" s="2" t="s">
        <v>98</v>
      </c>
      <c r="H1139" s="3">
        <v>11090</v>
      </c>
      <c r="I1139" s="4">
        <v>20</v>
      </c>
      <c r="J1139" s="5">
        <v>5.24</v>
      </c>
      <c r="K1139" s="4">
        <v>80</v>
      </c>
      <c r="L1139" s="3">
        <f t="shared" si="51"/>
        <v>2217.9999999999995</v>
      </c>
      <c r="M1139" s="3">
        <f t="shared" si="52"/>
        <v>59.733902682052054</v>
      </c>
      <c r="N1139" s="3">
        <v>121.6</v>
      </c>
      <c r="O1139" s="5">
        <f t="shared" si="53"/>
        <v>49.1232752319507</v>
      </c>
      <c r="P1139" s="2" t="s">
        <v>36</v>
      </c>
    </row>
    <row r="1140" spans="1:16" x14ac:dyDescent="0.2">
      <c r="A1140" s="2" t="s">
        <v>1536</v>
      </c>
      <c r="B1140" s="2" t="s">
        <v>113</v>
      </c>
      <c r="C1140" s="2" t="s">
        <v>18</v>
      </c>
      <c r="D1140" s="2" t="s">
        <v>19</v>
      </c>
      <c r="E1140" s="2" t="s">
        <v>88</v>
      </c>
      <c r="F1140" s="2" t="s">
        <v>34</v>
      </c>
      <c r="G1140" s="2" t="s">
        <v>44</v>
      </c>
      <c r="H1140" s="3">
        <v>3855</v>
      </c>
      <c r="I1140" s="4">
        <v>15</v>
      </c>
      <c r="J1140" s="5">
        <v>5.78</v>
      </c>
      <c r="K1140" s="4">
        <v>70</v>
      </c>
      <c r="L1140" s="3">
        <f t="shared" si="51"/>
        <v>1156.5000000000002</v>
      </c>
      <c r="M1140" s="3">
        <f t="shared" si="52"/>
        <v>22.451988728216133</v>
      </c>
      <c r="N1140" s="3">
        <v>49.3</v>
      </c>
      <c r="O1140" s="5">
        <f t="shared" si="53"/>
        <v>45.541559286442464</v>
      </c>
      <c r="P1140" s="2" t="s">
        <v>36</v>
      </c>
    </row>
    <row r="1141" spans="1:16" x14ac:dyDescent="0.2">
      <c r="A1141" s="2" t="s">
        <v>1537</v>
      </c>
      <c r="B1141" s="2" t="s">
        <v>269</v>
      </c>
      <c r="C1141" s="2" t="s">
        <v>18</v>
      </c>
      <c r="D1141" s="2" t="s">
        <v>19</v>
      </c>
      <c r="E1141" s="2" t="s">
        <v>78</v>
      </c>
      <c r="F1141" s="2" t="s">
        <v>50</v>
      </c>
      <c r="G1141" s="2" t="s">
        <v>22</v>
      </c>
      <c r="H1141" s="3">
        <v>11919</v>
      </c>
      <c r="I1141" s="4">
        <v>15</v>
      </c>
      <c r="J1141" s="5">
        <v>4.42</v>
      </c>
      <c r="K1141" s="4">
        <v>70</v>
      </c>
      <c r="L1141" s="3">
        <f t="shared" si="51"/>
        <v>3575.7000000000007</v>
      </c>
      <c r="M1141" s="3">
        <f t="shared" si="52"/>
        <v>63.485090176395225</v>
      </c>
      <c r="N1141" s="3">
        <v>127.2</v>
      </c>
      <c r="O1141" s="5">
        <f t="shared" si="53"/>
        <v>49.909662088361024</v>
      </c>
      <c r="P1141" s="2" t="s">
        <v>23</v>
      </c>
    </row>
    <row r="1142" spans="1:16" x14ac:dyDescent="0.2">
      <c r="A1142" s="2" t="s">
        <v>1538</v>
      </c>
      <c r="B1142" s="2" t="s">
        <v>325</v>
      </c>
      <c r="C1142" s="2" t="s">
        <v>84</v>
      </c>
      <c r="D1142" s="2" t="s">
        <v>85</v>
      </c>
      <c r="E1142" s="2" t="s">
        <v>97</v>
      </c>
      <c r="F1142" s="2" t="s">
        <v>21</v>
      </c>
      <c r="G1142" s="2" t="s">
        <v>98</v>
      </c>
      <c r="H1142" s="3">
        <v>6871</v>
      </c>
      <c r="I1142" s="4">
        <v>20</v>
      </c>
      <c r="J1142" s="5">
        <v>5.0599999999999996</v>
      </c>
      <c r="K1142" s="4">
        <v>80</v>
      </c>
      <c r="L1142" s="3">
        <f t="shared" si="51"/>
        <v>1374.1999999999996</v>
      </c>
      <c r="M1142" s="3">
        <f t="shared" si="52"/>
        <v>36.458887291908795</v>
      </c>
      <c r="N1142" s="3">
        <v>86.7</v>
      </c>
      <c r="O1142" s="5">
        <f t="shared" si="53"/>
        <v>42.05177311638846</v>
      </c>
      <c r="P1142" s="2" t="s">
        <v>36</v>
      </c>
    </row>
    <row r="1143" spans="1:16" x14ac:dyDescent="0.2">
      <c r="A1143" s="2" t="s">
        <v>1539</v>
      </c>
      <c r="B1143" s="2" t="s">
        <v>353</v>
      </c>
      <c r="C1143" s="2" t="s">
        <v>91</v>
      </c>
      <c r="D1143" s="2" t="s">
        <v>92</v>
      </c>
      <c r="E1143" s="2" t="s">
        <v>88</v>
      </c>
      <c r="F1143" s="2" t="s">
        <v>21</v>
      </c>
      <c r="G1143" s="2" t="s">
        <v>35</v>
      </c>
      <c r="H1143" s="3">
        <v>13822</v>
      </c>
      <c r="I1143" s="4">
        <v>20</v>
      </c>
      <c r="J1143" s="5">
        <v>5.08</v>
      </c>
      <c r="K1143" s="4">
        <v>70</v>
      </c>
      <c r="L1143" s="3">
        <f t="shared" si="51"/>
        <v>4146.6000000000004</v>
      </c>
      <c r="M1143" s="3">
        <f t="shared" si="52"/>
        <v>64.281722871851372</v>
      </c>
      <c r="N1143" s="3">
        <v>154.19999999999999</v>
      </c>
      <c r="O1143" s="5">
        <f t="shared" si="53"/>
        <v>41.687239216505432</v>
      </c>
      <c r="P1143" s="2" t="s">
        <v>36</v>
      </c>
    </row>
    <row r="1144" spans="1:16" x14ac:dyDescent="0.2">
      <c r="A1144" s="2" t="s">
        <v>1540</v>
      </c>
      <c r="B1144" s="2" t="s">
        <v>632</v>
      </c>
      <c r="C1144" s="2" t="s">
        <v>62</v>
      </c>
      <c r="D1144" s="2" t="s">
        <v>63</v>
      </c>
      <c r="E1144" s="2" t="s">
        <v>88</v>
      </c>
      <c r="F1144" s="2" t="s">
        <v>21</v>
      </c>
      <c r="G1144" s="2" t="s">
        <v>22</v>
      </c>
      <c r="H1144" s="3">
        <v>16716</v>
      </c>
      <c r="I1144" s="4">
        <v>25</v>
      </c>
      <c r="J1144" s="5">
        <v>5.03</v>
      </c>
      <c r="K1144" s="4">
        <v>70</v>
      </c>
      <c r="L1144" s="3">
        <f t="shared" si="51"/>
        <v>5014.8000000000011</v>
      </c>
      <c r="M1144" s="3">
        <f t="shared" si="52"/>
        <v>68.608728423832446</v>
      </c>
      <c r="N1144" s="3">
        <v>184.7</v>
      </c>
      <c r="O1144" s="5">
        <f t="shared" si="53"/>
        <v>37.146035963092828</v>
      </c>
      <c r="P1144" s="2" t="s">
        <v>36</v>
      </c>
    </row>
    <row r="1145" spans="1:16" x14ac:dyDescent="0.2">
      <c r="A1145" s="2" t="s">
        <v>1541</v>
      </c>
      <c r="B1145" s="2" t="s">
        <v>564</v>
      </c>
      <c r="C1145" s="2" t="s">
        <v>146</v>
      </c>
      <c r="D1145" s="2" t="s">
        <v>19</v>
      </c>
      <c r="E1145" s="2" t="s">
        <v>88</v>
      </c>
      <c r="F1145" s="2" t="s">
        <v>28</v>
      </c>
      <c r="G1145" s="2" t="s">
        <v>44</v>
      </c>
      <c r="H1145" s="3">
        <v>12380</v>
      </c>
      <c r="I1145" s="4">
        <v>30</v>
      </c>
      <c r="J1145" s="5">
        <v>4.71</v>
      </c>
      <c r="K1145" s="4">
        <v>85</v>
      </c>
      <c r="L1145" s="3">
        <f t="shared" si="51"/>
        <v>1857.0000000000002</v>
      </c>
      <c r="M1145" s="3">
        <f t="shared" si="52"/>
        <v>54.639523537097269</v>
      </c>
      <c r="N1145" s="3">
        <v>160.30000000000001</v>
      </c>
      <c r="O1145" s="5">
        <f t="shared" si="53"/>
        <v>34.085791351900973</v>
      </c>
      <c r="P1145" s="2" t="s">
        <v>36</v>
      </c>
    </row>
    <row r="1146" spans="1:16" x14ac:dyDescent="0.2">
      <c r="A1146" s="2" t="s">
        <v>1542</v>
      </c>
      <c r="B1146" s="2" t="s">
        <v>737</v>
      </c>
      <c r="C1146" s="2" t="s">
        <v>153</v>
      </c>
      <c r="D1146" s="2" t="s">
        <v>19</v>
      </c>
      <c r="E1146" s="2" t="s">
        <v>107</v>
      </c>
      <c r="F1146" s="2" t="s">
        <v>28</v>
      </c>
      <c r="G1146" s="2" t="s">
        <v>35</v>
      </c>
      <c r="H1146" s="3">
        <v>16491</v>
      </c>
      <c r="I1146" s="4">
        <v>30</v>
      </c>
      <c r="J1146" s="5">
        <v>4.6900000000000004</v>
      </c>
      <c r="K1146" s="4">
        <v>70</v>
      </c>
      <c r="L1146" s="3">
        <f t="shared" si="51"/>
        <v>4947.3000000000011</v>
      </c>
      <c r="M1146" s="3">
        <f t="shared" si="52"/>
        <v>59.80062862895057</v>
      </c>
      <c r="N1146" s="3">
        <v>265.60000000000002</v>
      </c>
      <c r="O1146" s="5">
        <f t="shared" si="53"/>
        <v>22.515296923550665</v>
      </c>
      <c r="P1146" s="2" t="s">
        <v>36</v>
      </c>
    </row>
    <row r="1147" spans="1:16" x14ac:dyDescent="0.2">
      <c r="A1147" s="2" t="s">
        <v>1543</v>
      </c>
      <c r="B1147" s="2" t="s">
        <v>651</v>
      </c>
      <c r="C1147" s="2" t="s">
        <v>131</v>
      </c>
      <c r="D1147" s="2" t="s">
        <v>27</v>
      </c>
      <c r="E1147" s="2" t="s">
        <v>68</v>
      </c>
      <c r="F1147" s="2" t="s">
        <v>59</v>
      </c>
      <c r="G1147" s="2" t="s">
        <v>22</v>
      </c>
      <c r="H1147" s="3">
        <v>15067</v>
      </c>
      <c r="I1147" s="4">
        <v>25</v>
      </c>
      <c r="J1147" s="5">
        <v>4.03</v>
      </c>
      <c r="K1147" s="4">
        <v>80</v>
      </c>
      <c r="L1147" s="3">
        <f t="shared" si="51"/>
        <v>3013.3999999999992</v>
      </c>
      <c r="M1147" s="3">
        <f t="shared" si="52"/>
        <v>63.823174506828657</v>
      </c>
      <c r="N1147" s="3">
        <v>246.2</v>
      </c>
      <c r="O1147" s="5">
        <f t="shared" si="53"/>
        <v>25.923304023894662</v>
      </c>
      <c r="P1147" s="2" t="s">
        <v>36</v>
      </c>
    </row>
    <row r="1148" spans="1:16" x14ac:dyDescent="0.2">
      <c r="A1148" s="2" t="s">
        <v>1544</v>
      </c>
      <c r="B1148" s="2" t="s">
        <v>1545</v>
      </c>
      <c r="C1148" s="2" t="s">
        <v>39</v>
      </c>
      <c r="D1148" s="2" t="s">
        <v>40</v>
      </c>
      <c r="E1148" s="2" t="s">
        <v>74</v>
      </c>
      <c r="F1148" s="2" t="s">
        <v>50</v>
      </c>
      <c r="G1148" s="2" t="s">
        <v>98</v>
      </c>
      <c r="H1148" s="3">
        <v>13356</v>
      </c>
      <c r="I1148" s="4">
        <v>25</v>
      </c>
      <c r="J1148" s="5">
        <v>4.3499999999999996</v>
      </c>
      <c r="K1148" s="4">
        <v>85</v>
      </c>
      <c r="L1148" s="3">
        <f t="shared" si="51"/>
        <v>2003.4000000000003</v>
      </c>
      <c r="M1148" s="3">
        <f t="shared" si="52"/>
        <v>62.138776431588802</v>
      </c>
      <c r="N1148" s="3">
        <v>215.4</v>
      </c>
      <c r="O1148" s="5">
        <f t="shared" si="53"/>
        <v>28.848085622836027</v>
      </c>
      <c r="P1148" s="2" t="s">
        <v>36</v>
      </c>
    </row>
    <row r="1149" spans="1:16" x14ac:dyDescent="0.2">
      <c r="A1149" s="2" t="s">
        <v>1546</v>
      </c>
      <c r="B1149" s="2" t="s">
        <v>1513</v>
      </c>
      <c r="C1149" s="2" t="s">
        <v>53</v>
      </c>
      <c r="D1149" s="2" t="s">
        <v>19</v>
      </c>
      <c r="E1149" s="2" t="s">
        <v>20</v>
      </c>
      <c r="F1149" s="2" t="s">
        <v>59</v>
      </c>
      <c r="G1149" s="2" t="s">
        <v>22</v>
      </c>
      <c r="H1149" s="3">
        <v>6076</v>
      </c>
      <c r="I1149" s="4">
        <v>25</v>
      </c>
      <c r="J1149" s="5">
        <v>5.03</v>
      </c>
      <c r="K1149" s="4">
        <v>75</v>
      </c>
      <c r="L1149" s="3">
        <f t="shared" si="51"/>
        <v>1519</v>
      </c>
      <c r="M1149" s="3">
        <f t="shared" si="52"/>
        <v>26.719479662547808</v>
      </c>
      <c r="N1149" s="3">
        <v>78.5</v>
      </c>
      <c r="O1149" s="5">
        <f t="shared" si="53"/>
        <v>34.037553710251984</v>
      </c>
      <c r="P1149" s="2" t="s">
        <v>36</v>
      </c>
    </row>
    <row r="1150" spans="1:16" x14ac:dyDescent="0.2">
      <c r="A1150" s="2" t="s">
        <v>1547</v>
      </c>
      <c r="B1150" s="2" t="s">
        <v>390</v>
      </c>
      <c r="C1150" s="2" t="s">
        <v>56</v>
      </c>
      <c r="D1150" s="2" t="s">
        <v>57</v>
      </c>
      <c r="E1150" s="2" t="s">
        <v>78</v>
      </c>
      <c r="F1150" s="2" t="s">
        <v>21</v>
      </c>
      <c r="G1150" s="2" t="s">
        <v>98</v>
      </c>
      <c r="H1150" s="3">
        <v>14409</v>
      </c>
      <c r="I1150" s="4">
        <v>25</v>
      </c>
      <c r="J1150" s="5">
        <v>5.43</v>
      </c>
      <c r="K1150" s="4">
        <v>70</v>
      </c>
      <c r="L1150" s="3">
        <f t="shared" si="51"/>
        <v>4322.7000000000007</v>
      </c>
      <c r="M1150" s="3">
        <f t="shared" si="52"/>
        <v>61.51777281882584</v>
      </c>
      <c r="N1150" s="3">
        <v>236.4</v>
      </c>
      <c r="O1150" s="5">
        <f t="shared" si="53"/>
        <v>26.022746539266429</v>
      </c>
      <c r="P1150" s="2" t="s">
        <v>69</v>
      </c>
    </row>
    <row r="1151" spans="1:16" x14ac:dyDescent="0.2">
      <c r="A1151" s="2" t="s">
        <v>1548</v>
      </c>
      <c r="B1151" s="2" t="s">
        <v>502</v>
      </c>
      <c r="C1151" s="2" t="s">
        <v>39</v>
      </c>
      <c r="D1151" s="2" t="s">
        <v>40</v>
      </c>
      <c r="E1151" s="2" t="s">
        <v>81</v>
      </c>
      <c r="F1151" s="2" t="s">
        <v>59</v>
      </c>
      <c r="G1151" s="2" t="s">
        <v>35</v>
      </c>
      <c r="H1151" s="3">
        <v>11667</v>
      </c>
      <c r="I1151" s="4">
        <v>25</v>
      </c>
      <c r="J1151" s="5">
        <v>4.2</v>
      </c>
      <c r="K1151" s="4">
        <v>80</v>
      </c>
      <c r="L1151" s="3">
        <f t="shared" si="51"/>
        <v>2333.3999999999996</v>
      </c>
      <c r="M1151" s="3">
        <f t="shared" si="52"/>
        <v>50.30272017919544</v>
      </c>
      <c r="N1151" s="3">
        <v>144</v>
      </c>
      <c r="O1151" s="5">
        <f t="shared" si="53"/>
        <v>34.932444568885721</v>
      </c>
      <c r="P1151" s="2" t="s">
        <v>36</v>
      </c>
    </row>
    <row r="1152" spans="1:16" x14ac:dyDescent="0.2">
      <c r="A1152" s="2" t="s">
        <v>1549</v>
      </c>
      <c r="B1152" s="2" t="s">
        <v>803</v>
      </c>
      <c r="C1152" s="2" t="s">
        <v>47</v>
      </c>
      <c r="D1152" s="2" t="s">
        <v>48</v>
      </c>
      <c r="E1152" s="2" t="s">
        <v>33</v>
      </c>
      <c r="F1152" s="2" t="s">
        <v>50</v>
      </c>
      <c r="G1152" s="2" t="s">
        <v>35</v>
      </c>
      <c r="H1152" s="3">
        <v>2760</v>
      </c>
      <c r="I1152" s="4">
        <v>20</v>
      </c>
      <c r="J1152" s="5">
        <v>5.28</v>
      </c>
      <c r="K1152" s="4">
        <v>80</v>
      </c>
      <c r="L1152" s="3">
        <f t="shared" si="51"/>
        <v>551.99999999999989</v>
      </c>
      <c r="M1152" s="3">
        <f t="shared" si="52"/>
        <v>14.915508240677477</v>
      </c>
      <c r="N1152" s="3">
        <v>31.1</v>
      </c>
      <c r="O1152" s="5">
        <f t="shared" si="53"/>
        <v>47.959833571310213</v>
      </c>
      <c r="P1152" s="2" t="s">
        <v>69</v>
      </c>
    </row>
    <row r="1153" spans="1:16" x14ac:dyDescent="0.2">
      <c r="A1153" s="2" t="s">
        <v>1550</v>
      </c>
      <c r="B1153" s="2" t="s">
        <v>880</v>
      </c>
      <c r="C1153" s="2" t="s">
        <v>84</v>
      </c>
      <c r="D1153" s="2" t="s">
        <v>85</v>
      </c>
      <c r="E1153" s="2" t="s">
        <v>58</v>
      </c>
      <c r="F1153" s="2" t="s">
        <v>21</v>
      </c>
      <c r="G1153" s="2" t="s">
        <v>35</v>
      </c>
      <c r="H1153" s="3">
        <v>8645</v>
      </c>
      <c r="I1153" s="4">
        <v>30</v>
      </c>
      <c r="J1153" s="5">
        <v>5.21</v>
      </c>
      <c r="K1153" s="4">
        <v>90</v>
      </c>
      <c r="L1153" s="3">
        <f t="shared" si="51"/>
        <v>864.49999999999977</v>
      </c>
      <c r="M1153" s="3">
        <f t="shared" si="52"/>
        <v>42.771648748181072</v>
      </c>
      <c r="N1153" s="3">
        <v>150</v>
      </c>
      <c r="O1153" s="5">
        <f t="shared" si="53"/>
        <v>28.514432498787379</v>
      </c>
      <c r="P1153" s="2" t="s">
        <v>36</v>
      </c>
    </row>
    <row r="1154" spans="1:16" x14ac:dyDescent="0.2">
      <c r="A1154" s="2" t="s">
        <v>1551</v>
      </c>
      <c r="B1154" s="2" t="s">
        <v>109</v>
      </c>
      <c r="C1154" s="2" t="s">
        <v>56</v>
      </c>
      <c r="D1154" s="2" t="s">
        <v>57</v>
      </c>
      <c r="E1154" s="2" t="s">
        <v>177</v>
      </c>
      <c r="F1154" s="2" t="s">
        <v>59</v>
      </c>
      <c r="G1154" s="2" t="s">
        <v>44</v>
      </c>
      <c r="H1154" s="3">
        <v>2871</v>
      </c>
      <c r="I1154" s="4">
        <v>15</v>
      </c>
      <c r="J1154" s="5">
        <v>5.6</v>
      </c>
      <c r="K1154" s="4">
        <v>75</v>
      </c>
      <c r="L1154" s="3">
        <f t="shared" ref="L1154:L1201" si="54">H1154*(1-K1154/100)</f>
        <v>717.75</v>
      </c>
      <c r="M1154" s="3">
        <f t="shared" ref="M1154:M1201" si="55">PMT(J1154/100/12, I1154*12, -(H1154*K1154/100))</f>
        <v>17.708320328536178</v>
      </c>
      <c r="N1154" s="3">
        <v>40.6</v>
      </c>
      <c r="O1154" s="5">
        <f t="shared" ref="O1154:O1201" si="56">IFERROR(M1154/N1154*100,0)</f>
        <v>43.616552533340339</v>
      </c>
      <c r="P1154" s="2" t="s">
        <v>29</v>
      </c>
    </row>
    <row r="1155" spans="1:16" x14ac:dyDescent="0.2">
      <c r="A1155" s="2" t="s">
        <v>1552</v>
      </c>
      <c r="B1155" s="2" t="s">
        <v>257</v>
      </c>
      <c r="C1155" s="2" t="s">
        <v>39</v>
      </c>
      <c r="D1155" s="2" t="s">
        <v>40</v>
      </c>
      <c r="E1155" s="2" t="s">
        <v>156</v>
      </c>
      <c r="F1155" s="2" t="s">
        <v>21</v>
      </c>
      <c r="G1155" s="2" t="s">
        <v>44</v>
      </c>
      <c r="H1155" s="3">
        <v>14507</v>
      </c>
      <c r="I1155" s="4">
        <v>25</v>
      </c>
      <c r="J1155" s="5">
        <v>5.59</v>
      </c>
      <c r="K1155" s="4">
        <v>90</v>
      </c>
      <c r="L1155" s="3">
        <f t="shared" si="54"/>
        <v>1450.6999999999996</v>
      </c>
      <c r="M1155" s="3">
        <f t="shared" si="55"/>
        <v>80.880360526730371</v>
      </c>
      <c r="N1155" s="3">
        <v>228.6</v>
      </c>
      <c r="O1155" s="5">
        <f t="shared" si="56"/>
        <v>35.380735138552225</v>
      </c>
      <c r="P1155" s="2" t="s">
        <v>29</v>
      </c>
    </row>
    <row r="1156" spans="1:16" x14ac:dyDescent="0.2">
      <c r="A1156" s="2" t="s">
        <v>1553</v>
      </c>
      <c r="B1156" s="2" t="s">
        <v>947</v>
      </c>
      <c r="C1156" s="2" t="s">
        <v>84</v>
      </c>
      <c r="D1156" s="2" t="s">
        <v>85</v>
      </c>
      <c r="E1156" s="2" t="s">
        <v>64</v>
      </c>
      <c r="F1156" s="2" t="s">
        <v>21</v>
      </c>
      <c r="G1156" s="2" t="s">
        <v>98</v>
      </c>
      <c r="H1156" s="3">
        <v>16368</v>
      </c>
      <c r="I1156" s="4">
        <v>30</v>
      </c>
      <c r="J1156" s="5">
        <v>5.39</v>
      </c>
      <c r="K1156" s="4">
        <v>85</v>
      </c>
      <c r="L1156" s="3">
        <f t="shared" si="54"/>
        <v>2455.2000000000003</v>
      </c>
      <c r="M1156" s="3">
        <f t="shared" si="55"/>
        <v>78.037831508777771</v>
      </c>
      <c r="N1156" s="3">
        <v>243</v>
      </c>
      <c r="O1156" s="5">
        <f t="shared" si="56"/>
        <v>32.114333954229537</v>
      </c>
      <c r="P1156" s="2" t="s">
        <v>36</v>
      </c>
    </row>
    <row r="1157" spans="1:16" x14ac:dyDescent="0.2">
      <c r="A1157" s="2" t="s">
        <v>1554</v>
      </c>
      <c r="B1157" s="2" t="s">
        <v>187</v>
      </c>
      <c r="C1157" s="2" t="s">
        <v>84</v>
      </c>
      <c r="D1157" s="2" t="s">
        <v>85</v>
      </c>
      <c r="E1157" s="2" t="s">
        <v>49</v>
      </c>
      <c r="F1157" s="2" t="s">
        <v>50</v>
      </c>
      <c r="G1157" s="2" t="s">
        <v>98</v>
      </c>
      <c r="H1157" s="3">
        <v>12746</v>
      </c>
      <c r="I1157" s="4">
        <v>30</v>
      </c>
      <c r="J1157" s="5">
        <v>5.59</v>
      </c>
      <c r="K1157" s="4">
        <v>70</v>
      </c>
      <c r="L1157" s="3">
        <f t="shared" si="54"/>
        <v>3823.8000000000006</v>
      </c>
      <c r="M1157" s="3">
        <f t="shared" si="55"/>
        <v>51.164227569093825</v>
      </c>
      <c r="N1157" s="3">
        <v>195.3</v>
      </c>
      <c r="O1157" s="5">
        <f t="shared" si="56"/>
        <v>26.197761172091049</v>
      </c>
      <c r="P1157" s="2" t="s">
        <v>23</v>
      </c>
    </row>
    <row r="1158" spans="1:16" x14ac:dyDescent="0.2">
      <c r="A1158" s="2" t="s">
        <v>1555</v>
      </c>
      <c r="B1158" s="2" t="s">
        <v>315</v>
      </c>
      <c r="C1158" s="2" t="s">
        <v>56</v>
      </c>
      <c r="D1158" s="2" t="s">
        <v>57</v>
      </c>
      <c r="E1158" s="2" t="s">
        <v>33</v>
      </c>
      <c r="F1158" s="2" t="s">
        <v>34</v>
      </c>
      <c r="G1158" s="2" t="s">
        <v>22</v>
      </c>
      <c r="H1158" s="3">
        <v>11297</v>
      </c>
      <c r="I1158" s="4">
        <v>20</v>
      </c>
      <c r="J1158" s="5">
        <v>4.97</v>
      </c>
      <c r="K1158" s="4">
        <v>90</v>
      </c>
      <c r="L1158" s="3">
        <f t="shared" si="54"/>
        <v>1129.6999999999998</v>
      </c>
      <c r="M1158" s="3">
        <f t="shared" si="55"/>
        <v>66.931295372880172</v>
      </c>
      <c r="N1158" s="3">
        <v>193.5</v>
      </c>
      <c r="O1158" s="5">
        <f t="shared" si="56"/>
        <v>34.589816730170632</v>
      </c>
      <c r="P1158" s="2" t="s">
        <v>36</v>
      </c>
    </row>
    <row r="1159" spans="1:16" x14ac:dyDescent="0.2">
      <c r="A1159" s="2" t="s">
        <v>1556</v>
      </c>
      <c r="B1159" s="2" t="s">
        <v>499</v>
      </c>
      <c r="C1159" s="2" t="s">
        <v>91</v>
      </c>
      <c r="D1159" s="2" t="s">
        <v>92</v>
      </c>
      <c r="E1159" s="2" t="s">
        <v>64</v>
      </c>
      <c r="F1159" s="2" t="s">
        <v>21</v>
      </c>
      <c r="G1159" s="2" t="s">
        <v>35</v>
      </c>
      <c r="H1159" s="3">
        <v>10085</v>
      </c>
      <c r="I1159" s="4">
        <v>25</v>
      </c>
      <c r="J1159" s="5">
        <v>4.08</v>
      </c>
      <c r="K1159" s="4">
        <v>75</v>
      </c>
      <c r="L1159" s="3">
        <f t="shared" si="54"/>
        <v>2521.25</v>
      </c>
      <c r="M1159" s="3">
        <f t="shared" si="55"/>
        <v>40.259124193410408</v>
      </c>
      <c r="N1159" s="3">
        <v>181.5</v>
      </c>
      <c r="O1159" s="5">
        <f t="shared" si="56"/>
        <v>22.181335643752291</v>
      </c>
      <c r="P1159" s="2" t="s">
        <v>23</v>
      </c>
    </row>
    <row r="1160" spans="1:16" x14ac:dyDescent="0.2">
      <c r="A1160" s="2" t="s">
        <v>1557</v>
      </c>
      <c r="B1160" s="2" t="s">
        <v>751</v>
      </c>
      <c r="C1160" s="2" t="s">
        <v>18</v>
      </c>
      <c r="D1160" s="2" t="s">
        <v>19</v>
      </c>
      <c r="E1160" s="2" t="s">
        <v>64</v>
      </c>
      <c r="F1160" s="2" t="s">
        <v>59</v>
      </c>
      <c r="G1160" s="2" t="s">
        <v>35</v>
      </c>
      <c r="H1160" s="3">
        <v>8441</v>
      </c>
      <c r="I1160" s="4">
        <v>25</v>
      </c>
      <c r="J1160" s="5">
        <v>5.65</v>
      </c>
      <c r="K1160" s="4">
        <v>80</v>
      </c>
      <c r="L1160" s="3">
        <f t="shared" si="54"/>
        <v>1688.1999999999996</v>
      </c>
      <c r="M1160" s="3">
        <f t="shared" si="55"/>
        <v>42.075179827518703</v>
      </c>
      <c r="N1160" s="3">
        <v>89.5</v>
      </c>
      <c r="O1160" s="5">
        <f t="shared" si="56"/>
        <v>47.011374108959444</v>
      </c>
      <c r="P1160" s="2" t="s">
        <v>23</v>
      </c>
    </row>
    <row r="1161" spans="1:16" x14ac:dyDescent="0.2">
      <c r="A1161" s="2" t="s">
        <v>1558</v>
      </c>
      <c r="B1161" s="2" t="s">
        <v>686</v>
      </c>
      <c r="C1161" s="2" t="s">
        <v>53</v>
      </c>
      <c r="D1161" s="2" t="s">
        <v>19</v>
      </c>
      <c r="E1161" s="2" t="s">
        <v>156</v>
      </c>
      <c r="F1161" s="2" t="s">
        <v>59</v>
      </c>
      <c r="G1161" s="2" t="s">
        <v>22</v>
      </c>
      <c r="H1161" s="3">
        <v>10362</v>
      </c>
      <c r="I1161" s="4">
        <v>25</v>
      </c>
      <c r="J1161" s="5">
        <v>4.8499999999999996</v>
      </c>
      <c r="K1161" s="4">
        <v>90</v>
      </c>
      <c r="L1161" s="3">
        <f t="shared" si="54"/>
        <v>1036.1999999999998</v>
      </c>
      <c r="M1161" s="3">
        <f t="shared" si="55"/>
        <v>53.70579499426664</v>
      </c>
      <c r="N1161" s="3">
        <v>111.9</v>
      </c>
      <c r="O1161" s="5">
        <f t="shared" si="56"/>
        <v>47.994454865296369</v>
      </c>
      <c r="P1161" s="2" t="s">
        <v>36</v>
      </c>
    </row>
    <row r="1162" spans="1:16" x14ac:dyDescent="0.2">
      <c r="A1162" s="2" t="s">
        <v>1559</v>
      </c>
      <c r="B1162" s="2" t="s">
        <v>746</v>
      </c>
      <c r="C1162" s="2" t="s">
        <v>100</v>
      </c>
      <c r="D1162" s="2" t="s">
        <v>32</v>
      </c>
      <c r="E1162" s="2" t="s">
        <v>20</v>
      </c>
      <c r="F1162" s="2" t="s">
        <v>50</v>
      </c>
      <c r="G1162" s="2" t="s">
        <v>35</v>
      </c>
      <c r="H1162" s="3">
        <v>7352</v>
      </c>
      <c r="I1162" s="4">
        <v>20</v>
      </c>
      <c r="J1162" s="5">
        <v>4.05</v>
      </c>
      <c r="K1162" s="4">
        <v>80</v>
      </c>
      <c r="L1162" s="3">
        <f t="shared" si="54"/>
        <v>1470.3999999999996</v>
      </c>
      <c r="M1162" s="3">
        <f t="shared" si="55"/>
        <v>35.796489801275946</v>
      </c>
      <c r="N1162" s="3">
        <v>78.2</v>
      </c>
      <c r="O1162" s="5">
        <f t="shared" si="56"/>
        <v>45.775562405723711</v>
      </c>
      <c r="P1162" s="2" t="s">
        <v>36</v>
      </c>
    </row>
    <row r="1163" spans="1:16" x14ac:dyDescent="0.2">
      <c r="A1163" s="2" t="s">
        <v>1560</v>
      </c>
      <c r="B1163" s="2" t="s">
        <v>353</v>
      </c>
      <c r="C1163" s="2" t="s">
        <v>39</v>
      </c>
      <c r="D1163" s="2" t="s">
        <v>40</v>
      </c>
      <c r="E1163" s="2" t="s">
        <v>88</v>
      </c>
      <c r="F1163" s="2" t="s">
        <v>50</v>
      </c>
      <c r="G1163" s="2" t="s">
        <v>44</v>
      </c>
      <c r="H1163" s="3">
        <v>16026</v>
      </c>
      <c r="I1163" s="4">
        <v>25</v>
      </c>
      <c r="J1163" s="5">
        <v>4.57</v>
      </c>
      <c r="K1163" s="4">
        <v>80</v>
      </c>
      <c r="L1163" s="3">
        <f t="shared" si="54"/>
        <v>3205.1999999999994</v>
      </c>
      <c r="M1163" s="3">
        <f t="shared" si="55"/>
        <v>71.772525234879353</v>
      </c>
      <c r="N1163" s="3">
        <v>188.9</v>
      </c>
      <c r="O1163" s="5">
        <f t="shared" si="56"/>
        <v>37.994984242921838</v>
      </c>
      <c r="P1163" s="2" t="s">
        <v>29</v>
      </c>
    </row>
    <row r="1164" spans="1:16" x14ac:dyDescent="0.2">
      <c r="A1164" s="2" t="s">
        <v>1561</v>
      </c>
      <c r="B1164" s="2" t="s">
        <v>292</v>
      </c>
      <c r="C1164" s="2" t="s">
        <v>153</v>
      </c>
      <c r="D1164" s="2" t="s">
        <v>19</v>
      </c>
      <c r="E1164" s="2" t="s">
        <v>33</v>
      </c>
      <c r="F1164" s="2" t="s">
        <v>50</v>
      </c>
      <c r="G1164" s="2" t="s">
        <v>22</v>
      </c>
      <c r="H1164" s="3">
        <v>1898</v>
      </c>
      <c r="I1164" s="4">
        <v>20</v>
      </c>
      <c r="J1164" s="5">
        <v>5.59</v>
      </c>
      <c r="K1164" s="4">
        <v>80</v>
      </c>
      <c r="L1164" s="3">
        <f t="shared" si="54"/>
        <v>379.59999999999991</v>
      </c>
      <c r="M1164" s="3">
        <f t="shared" si="55"/>
        <v>10.522214327254545</v>
      </c>
      <c r="N1164" s="3">
        <v>22.9</v>
      </c>
      <c r="O1164" s="5">
        <f t="shared" si="56"/>
        <v>45.948534180150858</v>
      </c>
      <c r="P1164" s="2" t="s">
        <v>36</v>
      </c>
    </row>
    <row r="1165" spans="1:16" x14ac:dyDescent="0.2">
      <c r="A1165" s="2" t="s">
        <v>1562</v>
      </c>
      <c r="B1165" s="2" t="s">
        <v>128</v>
      </c>
      <c r="C1165" s="2" t="s">
        <v>100</v>
      </c>
      <c r="D1165" s="2" t="s">
        <v>32</v>
      </c>
      <c r="E1165" s="2" t="s">
        <v>88</v>
      </c>
      <c r="F1165" s="2" t="s">
        <v>28</v>
      </c>
      <c r="G1165" s="2" t="s">
        <v>22</v>
      </c>
      <c r="H1165" s="3">
        <v>10587</v>
      </c>
      <c r="I1165" s="4">
        <v>30</v>
      </c>
      <c r="J1165" s="5">
        <v>3.91</v>
      </c>
      <c r="K1165" s="4">
        <v>75</v>
      </c>
      <c r="L1165" s="3">
        <f t="shared" si="54"/>
        <v>2646.75</v>
      </c>
      <c r="M1165" s="3">
        <f t="shared" si="55"/>
        <v>37.497138779835758</v>
      </c>
      <c r="N1165" s="3">
        <v>123.1</v>
      </c>
      <c r="O1165" s="5">
        <f t="shared" si="56"/>
        <v>30.460713874765037</v>
      </c>
      <c r="P1165" s="2" t="s">
        <v>69</v>
      </c>
    </row>
    <row r="1166" spans="1:16" x14ac:dyDescent="0.2">
      <c r="A1166" s="2" t="s">
        <v>1563</v>
      </c>
      <c r="B1166" s="2" t="s">
        <v>382</v>
      </c>
      <c r="C1166" s="2" t="s">
        <v>67</v>
      </c>
      <c r="D1166" s="2" t="s">
        <v>67</v>
      </c>
      <c r="E1166" s="2" t="s">
        <v>97</v>
      </c>
      <c r="F1166" s="2" t="s">
        <v>21</v>
      </c>
      <c r="G1166" s="2" t="s">
        <v>22</v>
      </c>
      <c r="H1166" s="3">
        <v>12796</v>
      </c>
      <c r="I1166" s="4">
        <v>30</v>
      </c>
      <c r="J1166" s="5">
        <v>5.26</v>
      </c>
      <c r="K1166" s="4">
        <v>90</v>
      </c>
      <c r="L1166" s="3">
        <f t="shared" si="54"/>
        <v>1279.5999999999997</v>
      </c>
      <c r="M1166" s="3">
        <f t="shared" si="55"/>
        <v>63.665335962464148</v>
      </c>
      <c r="N1166" s="3">
        <v>144.69999999999999</v>
      </c>
      <c r="O1166" s="5">
        <f t="shared" si="56"/>
        <v>43.998158923610333</v>
      </c>
      <c r="P1166" s="2" t="s">
        <v>29</v>
      </c>
    </row>
    <row r="1167" spans="1:16" x14ac:dyDescent="0.2">
      <c r="A1167" s="2" t="s">
        <v>1564</v>
      </c>
      <c r="B1167" s="2" t="s">
        <v>399</v>
      </c>
      <c r="C1167" s="2" t="s">
        <v>32</v>
      </c>
      <c r="D1167" s="2" t="s">
        <v>32</v>
      </c>
      <c r="E1167" s="2" t="s">
        <v>33</v>
      </c>
      <c r="F1167" s="2" t="s">
        <v>21</v>
      </c>
      <c r="G1167" s="2" t="s">
        <v>44</v>
      </c>
      <c r="H1167" s="3">
        <v>13761</v>
      </c>
      <c r="I1167" s="4">
        <v>30</v>
      </c>
      <c r="J1167" s="5">
        <v>4.12</v>
      </c>
      <c r="K1167" s="4">
        <v>85</v>
      </c>
      <c r="L1167" s="3">
        <f t="shared" si="54"/>
        <v>2064.15</v>
      </c>
      <c r="M1167" s="3">
        <f t="shared" si="55"/>
        <v>56.654778650563848</v>
      </c>
      <c r="N1167" s="3">
        <v>155.80000000000001</v>
      </c>
      <c r="O1167" s="5">
        <f t="shared" si="56"/>
        <v>36.363786040156512</v>
      </c>
      <c r="P1167" s="2" t="s">
        <v>69</v>
      </c>
    </row>
    <row r="1168" spans="1:16" x14ac:dyDescent="0.2">
      <c r="A1168" s="2" t="s">
        <v>1565</v>
      </c>
      <c r="B1168" s="2" t="s">
        <v>172</v>
      </c>
      <c r="C1168" s="2" t="s">
        <v>142</v>
      </c>
      <c r="D1168" s="2" t="s">
        <v>143</v>
      </c>
      <c r="E1168" s="2" t="s">
        <v>33</v>
      </c>
      <c r="F1168" s="2" t="s">
        <v>59</v>
      </c>
      <c r="G1168" s="2" t="s">
        <v>22</v>
      </c>
      <c r="H1168" s="3">
        <v>11590</v>
      </c>
      <c r="I1168" s="4">
        <v>30</v>
      </c>
      <c r="J1168" s="5">
        <v>4.84</v>
      </c>
      <c r="K1168" s="4">
        <v>80</v>
      </c>
      <c r="L1168" s="3">
        <f t="shared" si="54"/>
        <v>2317.9999999999995</v>
      </c>
      <c r="M1168" s="3">
        <f t="shared" si="55"/>
        <v>48.871400772155653</v>
      </c>
      <c r="N1168" s="3">
        <v>162.9</v>
      </c>
      <c r="O1168" s="5">
        <f t="shared" si="56"/>
        <v>30.000859896964794</v>
      </c>
      <c r="P1168" s="2" t="s">
        <v>36</v>
      </c>
    </row>
    <row r="1169" spans="1:16" x14ac:dyDescent="0.2">
      <c r="A1169" s="2" t="s">
        <v>1566</v>
      </c>
      <c r="B1169" s="2" t="s">
        <v>160</v>
      </c>
      <c r="C1169" s="2" t="s">
        <v>62</v>
      </c>
      <c r="D1169" s="2" t="s">
        <v>63</v>
      </c>
      <c r="E1169" s="2" t="s">
        <v>107</v>
      </c>
      <c r="F1169" s="2" t="s">
        <v>21</v>
      </c>
      <c r="G1169" s="2" t="s">
        <v>98</v>
      </c>
      <c r="H1169" s="3">
        <v>5613</v>
      </c>
      <c r="I1169" s="4">
        <v>25</v>
      </c>
      <c r="J1169" s="5">
        <v>5.12</v>
      </c>
      <c r="K1169" s="4">
        <v>80</v>
      </c>
      <c r="L1169" s="3">
        <f t="shared" si="54"/>
        <v>1122.5999999999997</v>
      </c>
      <c r="M1169" s="3">
        <f t="shared" si="55"/>
        <v>26.565332744263181</v>
      </c>
      <c r="N1169" s="3">
        <v>72.3</v>
      </c>
      <c r="O1169" s="5">
        <f t="shared" si="56"/>
        <v>36.743198816408274</v>
      </c>
      <c r="P1169" s="2" t="s">
        <v>36</v>
      </c>
    </row>
    <row r="1170" spans="1:16" x14ac:dyDescent="0.2">
      <c r="A1170" s="2" t="s">
        <v>1567</v>
      </c>
      <c r="B1170" s="2" t="s">
        <v>415</v>
      </c>
      <c r="C1170" s="2" t="s">
        <v>91</v>
      </c>
      <c r="D1170" s="2" t="s">
        <v>92</v>
      </c>
      <c r="E1170" s="2" t="s">
        <v>20</v>
      </c>
      <c r="F1170" s="2" t="s">
        <v>50</v>
      </c>
      <c r="G1170" s="2" t="s">
        <v>35</v>
      </c>
      <c r="H1170" s="3">
        <v>10329</v>
      </c>
      <c r="I1170" s="4">
        <v>25</v>
      </c>
      <c r="J1170" s="5">
        <v>4.1100000000000003</v>
      </c>
      <c r="K1170" s="4">
        <v>80</v>
      </c>
      <c r="L1170" s="3">
        <f t="shared" si="54"/>
        <v>2065.7999999999997</v>
      </c>
      <c r="M1170" s="3">
        <f t="shared" si="55"/>
        <v>44.119657498623731</v>
      </c>
      <c r="N1170" s="3">
        <v>143.5</v>
      </c>
      <c r="O1170" s="5">
        <f t="shared" si="56"/>
        <v>30.745405922385878</v>
      </c>
      <c r="P1170" s="2" t="s">
        <v>36</v>
      </c>
    </row>
    <row r="1171" spans="1:16" x14ac:dyDescent="0.2">
      <c r="A1171" s="2" t="s">
        <v>1568</v>
      </c>
      <c r="B1171" s="2" t="s">
        <v>307</v>
      </c>
      <c r="C1171" s="2" t="s">
        <v>72</v>
      </c>
      <c r="D1171" s="2" t="s">
        <v>73</v>
      </c>
      <c r="E1171" s="2" t="s">
        <v>88</v>
      </c>
      <c r="F1171" s="2" t="s">
        <v>50</v>
      </c>
      <c r="G1171" s="2" t="s">
        <v>22</v>
      </c>
      <c r="H1171" s="3">
        <v>13842</v>
      </c>
      <c r="I1171" s="4">
        <v>20</v>
      </c>
      <c r="J1171" s="5">
        <v>4.12</v>
      </c>
      <c r="K1171" s="4">
        <v>85</v>
      </c>
      <c r="L1171" s="3">
        <f t="shared" si="54"/>
        <v>2076.3000000000002</v>
      </c>
      <c r="M1171" s="3">
        <f t="shared" si="55"/>
        <v>72.043988999572363</v>
      </c>
      <c r="N1171" s="3">
        <v>154</v>
      </c>
      <c r="O1171" s="5">
        <f t="shared" si="56"/>
        <v>46.781811038683351</v>
      </c>
      <c r="P1171" s="2" t="s">
        <v>36</v>
      </c>
    </row>
    <row r="1172" spans="1:16" x14ac:dyDescent="0.2">
      <c r="A1172" s="2" t="s">
        <v>1569</v>
      </c>
      <c r="B1172" s="2" t="s">
        <v>212</v>
      </c>
      <c r="C1172" s="2" t="s">
        <v>18</v>
      </c>
      <c r="D1172" s="2" t="s">
        <v>19</v>
      </c>
      <c r="E1172" s="2" t="s">
        <v>177</v>
      </c>
      <c r="F1172" s="2" t="s">
        <v>34</v>
      </c>
      <c r="G1172" s="2" t="s">
        <v>44</v>
      </c>
      <c r="H1172" s="3">
        <v>12436</v>
      </c>
      <c r="I1172" s="4">
        <v>30</v>
      </c>
      <c r="J1172" s="5">
        <v>4.6100000000000003</v>
      </c>
      <c r="K1172" s="4">
        <v>80</v>
      </c>
      <c r="L1172" s="3">
        <f t="shared" si="54"/>
        <v>2487.1999999999994</v>
      </c>
      <c r="M1172" s="3">
        <f t="shared" si="55"/>
        <v>51.061436977715879</v>
      </c>
      <c r="N1172" s="3">
        <v>165.7</v>
      </c>
      <c r="O1172" s="5">
        <f t="shared" si="56"/>
        <v>30.815592623847849</v>
      </c>
      <c r="P1172" s="2" t="s">
        <v>36</v>
      </c>
    </row>
    <row r="1173" spans="1:16" x14ac:dyDescent="0.2">
      <c r="A1173" s="2" t="s">
        <v>1570</v>
      </c>
      <c r="B1173" s="2" t="s">
        <v>248</v>
      </c>
      <c r="C1173" s="2" t="s">
        <v>84</v>
      </c>
      <c r="D1173" s="2" t="s">
        <v>85</v>
      </c>
      <c r="E1173" s="2" t="s">
        <v>177</v>
      </c>
      <c r="F1173" s="2" t="s">
        <v>59</v>
      </c>
      <c r="G1173" s="2" t="s">
        <v>44</v>
      </c>
      <c r="H1173" s="3">
        <v>7681</v>
      </c>
      <c r="I1173" s="4">
        <v>30</v>
      </c>
      <c r="J1173" s="5">
        <v>4.53</v>
      </c>
      <c r="K1173" s="4">
        <v>80</v>
      </c>
      <c r="L1173" s="3">
        <f t="shared" si="54"/>
        <v>1536.1999999999996</v>
      </c>
      <c r="M1173" s="3">
        <f t="shared" si="55"/>
        <v>31.244427731815172</v>
      </c>
      <c r="N1173" s="3">
        <v>116.5</v>
      </c>
      <c r="O1173" s="5">
        <f t="shared" si="56"/>
        <v>26.819251271944356</v>
      </c>
      <c r="P1173" s="2" t="s">
        <v>36</v>
      </c>
    </row>
    <row r="1174" spans="1:16" x14ac:dyDescent="0.2">
      <c r="A1174" s="2" t="s">
        <v>1571</v>
      </c>
      <c r="B1174" s="2" t="s">
        <v>189</v>
      </c>
      <c r="C1174" s="2" t="s">
        <v>146</v>
      </c>
      <c r="D1174" s="2" t="s">
        <v>19</v>
      </c>
      <c r="E1174" s="2" t="s">
        <v>33</v>
      </c>
      <c r="F1174" s="2" t="s">
        <v>21</v>
      </c>
      <c r="G1174" s="2" t="s">
        <v>98</v>
      </c>
      <c r="H1174" s="3">
        <v>1778</v>
      </c>
      <c r="I1174" s="4">
        <v>20</v>
      </c>
      <c r="J1174" s="5">
        <v>4.1900000000000004</v>
      </c>
      <c r="K1174" s="4">
        <v>80</v>
      </c>
      <c r="L1174" s="3">
        <f t="shared" si="54"/>
        <v>355.59999999999991</v>
      </c>
      <c r="M1174" s="3">
        <f t="shared" si="55"/>
        <v>8.762535341447137</v>
      </c>
      <c r="N1174" s="3">
        <v>20.9</v>
      </c>
      <c r="O1174" s="5">
        <f t="shared" si="56"/>
        <v>41.926006418407354</v>
      </c>
      <c r="P1174" s="2" t="s">
        <v>36</v>
      </c>
    </row>
    <row r="1175" spans="1:16" x14ac:dyDescent="0.2">
      <c r="A1175" s="2" t="s">
        <v>1572</v>
      </c>
      <c r="B1175" s="2" t="s">
        <v>924</v>
      </c>
      <c r="C1175" s="2" t="s">
        <v>175</v>
      </c>
      <c r="D1175" s="2" t="s">
        <v>176</v>
      </c>
      <c r="E1175" s="2" t="s">
        <v>49</v>
      </c>
      <c r="F1175" s="2" t="s">
        <v>28</v>
      </c>
      <c r="G1175" s="2" t="s">
        <v>44</v>
      </c>
      <c r="H1175" s="3">
        <v>7633</v>
      </c>
      <c r="I1175" s="4">
        <v>15</v>
      </c>
      <c r="J1175" s="5">
        <v>5.32</v>
      </c>
      <c r="K1175" s="4">
        <v>80</v>
      </c>
      <c r="L1175" s="3">
        <f t="shared" si="54"/>
        <v>1526.5999999999997</v>
      </c>
      <c r="M1175" s="3">
        <f t="shared" si="55"/>
        <v>49.313032656099374</v>
      </c>
      <c r="N1175" s="3">
        <v>86.3</v>
      </c>
      <c r="O1175" s="5">
        <f t="shared" si="56"/>
        <v>57.141405163498696</v>
      </c>
      <c r="P1175" s="2" t="s">
        <v>36</v>
      </c>
    </row>
    <row r="1176" spans="1:16" x14ac:dyDescent="0.2">
      <c r="A1176" s="2" t="s">
        <v>1573</v>
      </c>
      <c r="B1176" s="2" t="s">
        <v>775</v>
      </c>
      <c r="C1176" s="2" t="s">
        <v>56</v>
      </c>
      <c r="D1176" s="2" t="s">
        <v>57</v>
      </c>
      <c r="E1176" s="2" t="s">
        <v>97</v>
      </c>
      <c r="F1176" s="2" t="s">
        <v>59</v>
      </c>
      <c r="G1176" s="2" t="s">
        <v>44</v>
      </c>
      <c r="H1176" s="3">
        <v>7819</v>
      </c>
      <c r="I1176" s="4">
        <v>30</v>
      </c>
      <c r="J1176" s="5">
        <v>4.3899999999999997</v>
      </c>
      <c r="K1176" s="4">
        <v>80</v>
      </c>
      <c r="L1176" s="3">
        <f t="shared" si="54"/>
        <v>1563.7999999999997</v>
      </c>
      <c r="M1176" s="3">
        <f t="shared" si="55"/>
        <v>31.286658047018491</v>
      </c>
      <c r="N1176" s="3">
        <v>88.9</v>
      </c>
      <c r="O1176" s="5">
        <f t="shared" si="56"/>
        <v>35.19309116649999</v>
      </c>
      <c r="P1176" s="2" t="s">
        <v>36</v>
      </c>
    </row>
    <row r="1177" spans="1:16" x14ac:dyDescent="0.2">
      <c r="A1177" s="2" t="s">
        <v>1574</v>
      </c>
      <c r="B1177" s="2" t="s">
        <v>714</v>
      </c>
      <c r="C1177" s="2" t="s">
        <v>62</v>
      </c>
      <c r="D1177" s="2" t="s">
        <v>63</v>
      </c>
      <c r="E1177" s="2" t="s">
        <v>33</v>
      </c>
      <c r="F1177" s="2" t="s">
        <v>21</v>
      </c>
      <c r="G1177" s="2" t="s">
        <v>22</v>
      </c>
      <c r="H1177" s="3">
        <v>13476</v>
      </c>
      <c r="I1177" s="4">
        <v>25</v>
      </c>
      <c r="J1177" s="5">
        <v>5.75</v>
      </c>
      <c r="K1177" s="4">
        <v>80</v>
      </c>
      <c r="L1177" s="3">
        <f t="shared" si="54"/>
        <v>2695.1999999999994</v>
      </c>
      <c r="M1177" s="3">
        <f t="shared" si="55"/>
        <v>67.822703032381924</v>
      </c>
      <c r="N1177" s="3">
        <v>234.7</v>
      </c>
      <c r="O1177" s="5">
        <f t="shared" si="56"/>
        <v>28.897615267312283</v>
      </c>
      <c r="P1177" s="2" t="s">
        <v>36</v>
      </c>
    </row>
    <row r="1178" spans="1:16" x14ac:dyDescent="0.2">
      <c r="A1178" s="2" t="s">
        <v>1575</v>
      </c>
      <c r="B1178" s="2" t="s">
        <v>298</v>
      </c>
      <c r="C1178" s="2" t="s">
        <v>32</v>
      </c>
      <c r="D1178" s="2" t="s">
        <v>32</v>
      </c>
      <c r="E1178" s="2" t="s">
        <v>114</v>
      </c>
      <c r="F1178" s="2" t="s">
        <v>28</v>
      </c>
      <c r="G1178" s="2" t="s">
        <v>98</v>
      </c>
      <c r="H1178" s="3">
        <v>9765</v>
      </c>
      <c r="I1178" s="4">
        <v>30</v>
      </c>
      <c r="J1178" s="5">
        <v>5.17</v>
      </c>
      <c r="K1178" s="4">
        <v>75</v>
      </c>
      <c r="L1178" s="3">
        <f t="shared" si="54"/>
        <v>2441.25</v>
      </c>
      <c r="M1178" s="3">
        <f t="shared" si="55"/>
        <v>40.07988874707619</v>
      </c>
      <c r="N1178" s="3">
        <v>110.2</v>
      </c>
      <c r="O1178" s="5">
        <f t="shared" si="56"/>
        <v>36.370134979197992</v>
      </c>
      <c r="P1178" s="2" t="s">
        <v>69</v>
      </c>
    </row>
    <row r="1179" spans="1:16" x14ac:dyDescent="0.2">
      <c r="A1179" s="2" t="s">
        <v>1576</v>
      </c>
      <c r="B1179" s="2" t="s">
        <v>155</v>
      </c>
      <c r="C1179" s="2" t="s">
        <v>77</v>
      </c>
      <c r="D1179" s="2" t="s">
        <v>19</v>
      </c>
      <c r="E1179" s="2" t="s">
        <v>81</v>
      </c>
      <c r="F1179" s="2" t="s">
        <v>50</v>
      </c>
      <c r="G1179" s="2" t="s">
        <v>98</v>
      </c>
      <c r="H1179" s="3">
        <v>7520</v>
      </c>
      <c r="I1179" s="4">
        <v>20</v>
      </c>
      <c r="J1179" s="5">
        <v>5.37</v>
      </c>
      <c r="K1179" s="4">
        <v>75</v>
      </c>
      <c r="L1179" s="3">
        <f t="shared" si="54"/>
        <v>1880</v>
      </c>
      <c r="M1179" s="3">
        <f t="shared" si="55"/>
        <v>38.383903597301327</v>
      </c>
      <c r="N1179" s="3">
        <v>91.2</v>
      </c>
      <c r="O1179" s="5">
        <f t="shared" si="56"/>
        <v>42.087613593532154</v>
      </c>
      <c r="P1179" s="2" t="s">
        <v>69</v>
      </c>
    </row>
    <row r="1180" spans="1:16" x14ac:dyDescent="0.2">
      <c r="A1180" s="2" t="s">
        <v>1577</v>
      </c>
      <c r="B1180" s="2" t="s">
        <v>133</v>
      </c>
      <c r="C1180" s="2" t="s">
        <v>56</v>
      </c>
      <c r="D1180" s="2" t="s">
        <v>57</v>
      </c>
      <c r="E1180" s="2" t="s">
        <v>68</v>
      </c>
      <c r="F1180" s="2" t="s">
        <v>50</v>
      </c>
      <c r="G1180" s="2" t="s">
        <v>22</v>
      </c>
      <c r="H1180" s="3">
        <v>11295</v>
      </c>
      <c r="I1180" s="4">
        <v>30</v>
      </c>
      <c r="J1180" s="5">
        <v>5.49</v>
      </c>
      <c r="K1180" s="4">
        <v>70</v>
      </c>
      <c r="L1180" s="3">
        <f t="shared" si="54"/>
        <v>3388.5000000000005</v>
      </c>
      <c r="M1180" s="3">
        <f t="shared" si="55"/>
        <v>44.842643430750044</v>
      </c>
      <c r="N1180" s="3">
        <v>125.8</v>
      </c>
      <c r="O1180" s="5">
        <f t="shared" si="56"/>
        <v>35.645980469594626</v>
      </c>
      <c r="P1180" s="2" t="s">
        <v>23</v>
      </c>
    </row>
    <row r="1181" spans="1:16" x14ac:dyDescent="0.2">
      <c r="A1181" s="2" t="s">
        <v>1578</v>
      </c>
      <c r="B1181" s="2" t="s">
        <v>751</v>
      </c>
      <c r="C1181" s="2" t="s">
        <v>72</v>
      </c>
      <c r="D1181" s="2" t="s">
        <v>73</v>
      </c>
      <c r="E1181" s="2" t="s">
        <v>74</v>
      </c>
      <c r="F1181" s="2" t="s">
        <v>21</v>
      </c>
      <c r="G1181" s="2" t="s">
        <v>98</v>
      </c>
      <c r="H1181" s="3">
        <v>12231</v>
      </c>
      <c r="I1181" s="4">
        <v>20</v>
      </c>
      <c r="J1181" s="5">
        <v>5.69</v>
      </c>
      <c r="K1181" s="4">
        <v>85</v>
      </c>
      <c r="L1181" s="3">
        <f t="shared" si="54"/>
        <v>1834.6500000000003</v>
      </c>
      <c r="M1181" s="3">
        <f t="shared" si="55"/>
        <v>72.635404170158083</v>
      </c>
      <c r="N1181" s="3">
        <v>206</v>
      </c>
      <c r="O1181" s="5">
        <f t="shared" si="56"/>
        <v>35.259904936969946</v>
      </c>
      <c r="P1181" s="2" t="s">
        <v>36</v>
      </c>
    </row>
    <row r="1182" spans="1:16" x14ac:dyDescent="0.2">
      <c r="A1182" s="2" t="s">
        <v>1579</v>
      </c>
      <c r="B1182" s="2" t="s">
        <v>187</v>
      </c>
      <c r="C1182" s="2" t="s">
        <v>67</v>
      </c>
      <c r="D1182" s="2" t="s">
        <v>67</v>
      </c>
      <c r="E1182" s="2" t="s">
        <v>177</v>
      </c>
      <c r="F1182" s="2" t="s">
        <v>21</v>
      </c>
      <c r="G1182" s="2" t="s">
        <v>98</v>
      </c>
      <c r="H1182" s="3">
        <v>6396</v>
      </c>
      <c r="I1182" s="4">
        <v>30</v>
      </c>
      <c r="J1182" s="5">
        <v>4.41</v>
      </c>
      <c r="K1182" s="4">
        <v>80</v>
      </c>
      <c r="L1182" s="3">
        <f t="shared" si="54"/>
        <v>1279.1999999999998</v>
      </c>
      <c r="M1182" s="3">
        <f t="shared" si="55"/>
        <v>25.653168018431106</v>
      </c>
      <c r="N1182" s="3">
        <v>86.5</v>
      </c>
      <c r="O1182" s="5">
        <f t="shared" si="56"/>
        <v>29.65684163980475</v>
      </c>
      <c r="P1182" s="2" t="s">
        <v>23</v>
      </c>
    </row>
    <row r="1183" spans="1:16" x14ac:dyDescent="0.2">
      <c r="A1183" s="2" t="s">
        <v>1580</v>
      </c>
      <c r="B1183" s="2" t="s">
        <v>580</v>
      </c>
      <c r="C1183" s="2" t="s">
        <v>142</v>
      </c>
      <c r="D1183" s="2" t="s">
        <v>143</v>
      </c>
      <c r="E1183" s="2" t="s">
        <v>78</v>
      </c>
      <c r="F1183" s="2" t="s">
        <v>50</v>
      </c>
      <c r="G1183" s="2" t="s">
        <v>35</v>
      </c>
      <c r="H1183" s="3">
        <v>16286</v>
      </c>
      <c r="I1183" s="4">
        <v>20</v>
      </c>
      <c r="J1183" s="5">
        <v>4.68</v>
      </c>
      <c r="K1183" s="4">
        <v>85</v>
      </c>
      <c r="L1183" s="3">
        <f t="shared" si="54"/>
        <v>2442.9000000000005</v>
      </c>
      <c r="M1183" s="3">
        <f t="shared" si="55"/>
        <v>88.929024049283598</v>
      </c>
      <c r="N1183" s="3">
        <v>215.5</v>
      </c>
      <c r="O1183" s="5">
        <f t="shared" si="56"/>
        <v>41.266368468345057</v>
      </c>
      <c r="P1183" s="2" t="s">
        <v>36</v>
      </c>
    </row>
    <row r="1184" spans="1:16" x14ac:dyDescent="0.2">
      <c r="A1184" s="2" t="s">
        <v>1581</v>
      </c>
      <c r="B1184" s="2" t="s">
        <v>204</v>
      </c>
      <c r="C1184" s="2" t="s">
        <v>18</v>
      </c>
      <c r="D1184" s="2" t="s">
        <v>19</v>
      </c>
      <c r="E1184" s="2" t="s">
        <v>81</v>
      </c>
      <c r="F1184" s="2" t="s">
        <v>21</v>
      </c>
      <c r="G1184" s="2" t="s">
        <v>98</v>
      </c>
      <c r="H1184" s="3">
        <v>7712</v>
      </c>
      <c r="I1184" s="4">
        <v>25</v>
      </c>
      <c r="J1184" s="5">
        <v>4.09</v>
      </c>
      <c r="K1184" s="4">
        <v>85</v>
      </c>
      <c r="L1184" s="3">
        <f t="shared" si="54"/>
        <v>1156.8000000000002</v>
      </c>
      <c r="M1184" s="3">
        <f t="shared" si="55"/>
        <v>34.927343689148707</v>
      </c>
      <c r="N1184" s="3">
        <v>83.4</v>
      </c>
      <c r="O1184" s="5">
        <f t="shared" si="56"/>
        <v>41.879308979794608</v>
      </c>
      <c r="P1184" s="2" t="s">
        <v>36</v>
      </c>
    </row>
    <row r="1185" spans="1:16" x14ac:dyDescent="0.2">
      <c r="A1185" s="2" t="s">
        <v>1582</v>
      </c>
      <c r="B1185" s="2" t="s">
        <v>532</v>
      </c>
      <c r="C1185" s="2" t="s">
        <v>100</v>
      </c>
      <c r="D1185" s="2" t="s">
        <v>32</v>
      </c>
      <c r="E1185" s="2" t="s">
        <v>156</v>
      </c>
      <c r="F1185" s="2" t="s">
        <v>28</v>
      </c>
      <c r="G1185" s="2" t="s">
        <v>44</v>
      </c>
      <c r="H1185" s="3">
        <v>3084</v>
      </c>
      <c r="I1185" s="4">
        <v>20</v>
      </c>
      <c r="J1185" s="5">
        <v>5.0999999999999996</v>
      </c>
      <c r="K1185" s="4">
        <v>80</v>
      </c>
      <c r="L1185" s="3">
        <f t="shared" si="54"/>
        <v>616.79999999999984</v>
      </c>
      <c r="M1185" s="3">
        <f t="shared" si="55"/>
        <v>16.419029494633399</v>
      </c>
      <c r="N1185" s="3">
        <v>33.9</v>
      </c>
      <c r="O1185" s="5">
        <f t="shared" si="56"/>
        <v>48.43371532340236</v>
      </c>
      <c r="P1185" s="2" t="s">
        <v>29</v>
      </c>
    </row>
    <row r="1186" spans="1:16" x14ac:dyDescent="0.2">
      <c r="A1186" s="2" t="s">
        <v>1583</v>
      </c>
      <c r="B1186" s="2" t="s">
        <v>1221</v>
      </c>
      <c r="C1186" s="2" t="s">
        <v>67</v>
      </c>
      <c r="D1186" s="2" t="s">
        <v>67</v>
      </c>
      <c r="E1186" s="2" t="s">
        <v>88</v>
      </c>
      <c r="F1186" s="2" t="s">
        <v>34</v>
      </c>
      <c r="G1186" s="2" t="s">
        <v>44</v>
      </c>
      <c r="H1186" s="3">
        <v>3211</v>
      </c>
      <c r="I1186" s="4">
        <v>25</v>
      </c>
      <c r="J1186" s="5">
        <v>4.78</v>
      </c>
      <c r="K1186" s="4">
        <v>80</v>
      </c>
      <c r="L1186" s="3">
        <f t="shared" si="54"/>
        <v>642.19999999999982</v>
      </c>
      <c r="M1186" s="3">
        <f t="shared" si="55"/>
        <v>14.689534368211877</v>
      </c>
      <c r="N1186" s="3">
        <v>41.3</v>
      </c>
      <c r="O1186" s="5">
        <f t="shared" si="56"/>
        <v>35.567879826178881</v>
      </c>
      <c r="P1186" s="2" t="s">
        <v>36</v>
      </c>
    </row>
    <row r="1187" spans="1:16" x14ac:dyDescent="0.2">
      <c r="A1187" s="2" t="s">
        <v>1584</v>
      </c>
      <c r="B1187" s="2" t="s">
        <v>315</v>
      </c>
      <c r="C1187" s="2" t="s">
        <v>91</v>
      </c>
      <c r="D1187" s="2" t="s">
        <v>92</v>
      </c>
      <c r="E1187" s="2" t="s">
        <v>68</v>
      </c>
      <c r="F1187" s="2" t="s">
        <v>50</v>
      </c>
      <c r="G1187" s="2" t="s">
        <v>35</v>
      </c>
      <c r="H1187" s="3">
        <v>9801</v>
      </c>
      <c r="I1187" s="4">
        <v>30</v>
      </c>
      <c r="J1187" s="5">
        <v>4.1100000000000003</v>
      </c>
      <c r="K1187" s="4">
        <v>90</v>
      </c>
      <c r="L1187" s="3">
        <f t="shared" si="54"/>
        <v>980.0999999999998</v>
      </c>
      <c r="M1187" s="3">
        <f t="shared" si="55"/>
        <v>42.6736307555419</v>
      </c>
      <c r="N1187" s="3">
        <v>128.30000000000001</v>
      </c>
      <c r="O1187" s="5">
        <f t="shared" si="56"/>
        <v>33.260818983275051</v>
      </c>
      <c r="P1187" s="2" t="s">
        <v>36</v>
      </c>
    </row>
    <row r="1188" spans="1:16" x14ac:dyDescent="0.2">
      <c r="A1188" s="2" t="s">
        <v>1585</v>
      </c>
      <c r="B1188" s="2" t="s">
        <v>325</v>
      </c>
      <c r="C1188" s="2" t="s">
        <v>32</v>
      </c>
      <c r="D1188" s="2" t="s">
        <v>32</v>
      </c>
      <c r="E1188" s="2" t="s">
        <v>156</v>
      </c>
      <c r="F1188" s="2" t="s">
        <v>50</v>
      </c>
      <c r="G1188" s="2" t="s">
        <v>22</v>
      </c>
      <c r="H1188" s="3">
        <v>17607</v>
      </c>
      <c r="I1188" s="4">
        <v>25</v>
      </c>
      <c r="J1188" s="5">
        <v>4.5199999999999996</v>
      </c>
      <c r="K1188" s="4">
        <v>90</v>
      </c>
      <c r="L1188" s="3">
        <f t="shared" si="54"/>
        <v>1760.6999999999996</v>
      </c>
      <c r="M1188" s="3">
        <f t="shared" si="55"/>
        <v>88.258866657854483</v>
      </c>
      <c r="N1188" s="3">
        <v>235.3</v>
      </c>
      <c r="O1188" s="5">
        <f t="shared" si="56"/>
        <v>37.509080602573093</v>
      </c>
      <c r="P1188" s="2" t="s">
        <v>36</v>
      </c>
    </row>
    <row r="1189" spans="1:16" x14ac:dyDescent="0.2">
      <c r="A1189" s="2" t="s">
        <v>1586</v>
      </c>
      <c r="B1189" s="2" t="s">
        <v>102</v>
      </c>
      <c r="C1189" s="2" t="s">
        <v>56</v>
      </c>
      <c r="D1189" s="2" t="s">
        <v>57</v>
      </c>
      <c r="E1189" s="2" t="s">
        <v>74</v>
      </c>
      <c r="F1189" s="2" t="s">
        <v>34</v>
      </c>
      <c r="G1189" s="2" t="s">
        <v>44</v>
      </c>
      <c r="H1189" s="3">
        <v>10731</v>
      </c>
      <c r="I1189" s="4">
        <v>20</v>
      </c>
      <c r="J1189" s="5">
        <v>4.09</v>
      </c>
      <c r="K1189" s="4">
        <v>80</v>
      </c>
      <c r="L1189" s="3">
        <f t="shared" si="54"/>
        <v>2146.1999999999994</v>
      </c>
      <c r="M1189" s="3">
        <f t="shared" si="55"/>
        <v>52.430224812074542</v>
      </c>
      <c r="N1189" s="3">
        <v>127.5</v>
      </c>
      <c r="O1189" s="5">
        <f t="shared" si="56"/>
        <v>41.121744950646701</v>
      </c>
      <c r="P1189" s="2" t="s">
        <v>36</v>
      </c>
    </row>
    <row r="1190" spans="1:16" x14ac:dyDescent="0.2">
      <c r="A1190" s="2" t="s">
        <v>1587</v>
      </c>
      <c r="B1190" s="2" t="s">
        <v>797</v>
      </c>
      <c r="C1190" s="2" t="s">
        <v>39</v>
      </c>
      <c r="D1190" s="2" t="s">
        <v>40</v>
      </c>
      <c r="E1190" s="2" t="s">
        <v>20</v>
      </c>
      <c r="F1190" s="2" t="s">
        <v>59</v>
      </c>
      <c r="G1190" s="2" t="s">
        <v>22</v>
      </c>
      <c r="H1190" s="3">
        <v>14505</v>
      </c>
      <c r="I1190" s="4">
        <v>30</v>
      </c>
      <c r="J1190" s="5">
        <v>4.62</v>
      </c>
      <c r="K1190" s="4">
        <v>90</v>
      </c>
      <c r="L1190" s="3">
        <f t="shared" si="54"/>
        <v>1450.4999999999998</v>
      </c>
      <c r="M1190" s="3">
        <f t="shared" si="55"/>
        <v>67.079283884537347</v>
      </c>
      <c r="N1190" s="3">
        <v>170.1</v>
      </c>
      <c r="O1190" s="5">
        <f t="shared" si="56"/>
        <v>39.435205105548114</v>
      </c>
      <c r="P1190" s="2" t="s">
        <v>69</v>
      </c>
    </row>
    <row r="1191" spans="1:16" x14ac:dyDescent="0.2">
      <c r="A1191" s="2" t="s">
        <v>1588</v>
      </c>
      <c r="B1191" s="2" t="s">
        <v>1075</v>
      </c>
      <c r="C1191" s="2" t="s">
        <v>62</v>
      </c>
      <c r="D1191" s="2" t="s">
        <v>63</v>
      </c>
      <c r="E1191" s="2" t="s">
        <v>74</v>
      </c>
      <c r="F1191" s="2" t="s">
        <v>34</v>
      </c>
      <c r="G1191" s="2" t="s">
        <v>35</v>
      </c>
      <c r="H1191" s="3">
        <v>14975</v>
      </c>
      <c r="I1191" s="4">
        <v>20</v>
      </c>
      <c r="J1191" s="5">
        <v>4.24</v>
      </c>
      <c r="K1191" s="4">
        <v>70</v>
      </c>
      <c r="L1191" s="3">
        <f t="shared" si="54"/>
        <v>4492.5000000000009</v>
      </c>
      <c r="M1191" s="3">
        <f t="shared" si="55"/>
        <v>64.855354086243111</v>
      </c>
      <c r="N1191" s="3">
        <v>162.1</v>
      </c>
      <c r="O1191" s="5">
        <f t="shared" si="56"/>
        <v>40.009471984110498</v>
      </c>
      <c r="P1191" s="2" t="s">
        <v>23</v>
      </c>
    </row>
    <row r="1192" spans="1:16" x14ac:dyDescent="0.2">
      <c r="A1192" s="2" t="s">
        <v>1589</v>
      </c>
      <c r="B1192" s="2" t="s">
        <v>403</v>
      </c>
      <c r="C1192" s="2" t="s">
        <v>175</v>
      </c>
      <c r="D1192" s="2" t="s">
        <v>176</v>
      </c>
      <c r="E1192" s="2" t="s">
        <v>107</v>
      </c>
      <c r="F1192" s="2" t="s">
        <v>59</v>
      </c>
      <c r="G1192" s="2" t="s">
        <v>35</v>
      </c>
      <c r="H1192" s="3">
        <v>12585</v>
      </c>
      <c r="I1192" s="4">
        <v>30</v>
      </c>
      <c r="J1192" s="5">
        <v>5.26</v>
      </c>
      <c r="K1192" s="4">
        <v>80</v>
      </c>
      <c r="L1192" s="3">
        <f t="shared" si="54"/>
        <v>2516.9999999999995</v>
      </c>
      <c r="M1192" s="3">
        <f t="shared" si="55"/>
        <v>55.65824411014632</v>
      </c>
      <c r="N1192" s="3">
        <v>174.4</v>
      </c>
      <c r="O1192" s="5">
        <f t="shared" si="56"/>
        <v>31.914130797102246</v>
      </c>
      <c r="P1192" s="2" t="s">
        <v>29</v>
      </c>
    </row>
    <row r="1193" spans="1:16" x14ac:dyDescent="0.2">
      <c r="A1193" s="2" t="s">
        <v>1590</v>
      </c>
      <c r="B1193" s="2" t="s">
        <v>1591</v>
      </c>
      <c r="C1193" s="2" t="s">
        <v>77</v>
      </c>
      <c r="D1193" s="2" t="s">
        <v>19</v>
      </c>
      <c r="E1193" s="2" t="s">
        <v>49</v>
      </c>
      <c r="F1193" s="2" t="s">
        <v>34</v>
      </c>
      <c r="G1193" s="2" t="s">
        <v>44</v>
      </c>
      <c r="H1193" s="3">
        <v>12515</v>
      </c>
      <c r="I1193" s="4">
        <v>15</v>
      </c>
      <c r="J1193" s="5">
        <v>4.99</v>
      </c>
      <c r="K1193" s="4">
        <v>90</v>
      </c>
      <c r="L1193" s="3">
        <f t="shared" si="54"/>
        <v>1251.4999999999998</v>
      </c>
      <c r="M1193" s="3">
        <f t="shared" si="55"/>
        <v>89.012377271070491</v>
      </c>
      <c r="N1193" s="3">
        <v>170.7</v>
      </c>
      <c r="O1193" s="5">
        <f t="shared" si="56"/>
        <v>52.145505138295547</v>
      </c>
      <c r="P1193" s="2" t="s">
        <v>36</v>
      </c>
    </row>
    <row r="1194" spans="1:16" x14ac:dyDescent="0.2">
      <c r="A1194" s="2" t="s">
        <v>1592</v>
      </c>
      <c r="B1194" s="2" t="s">
        <v>1055</v>
      </c>
      <c r="C1194" s="2" t="s">
        <v>67</v>
      </c>
      <c r="D1194" s="2" t="s">
        <v>67</v>
      </c>
      <c r="E1194" s="2" t="s">
        <v>97</v>
      </c>
      <c r="F1194" s="2" t="s">
        <v>50</v>
      </c>
      <c r="G1194" s="2" t="s">
        <v>98</v>
      </c>
      <c r="H1194" s="3">
        <v>6080</v>
      </c>
      <c r="I1194" s="4">
        <v>30</v>
      </c>
      <c r="J1194" s="5">
        <v>4.5999999999999996</v>
      </c>
      <c r="K1194" s="4">
        <v>75</v>
      </c>
      <c r="L1194" s="3">
        <f t="shared" si="54"/>
        <v>1520</v>
      </c>
      <c r="M1194" s="3">
        <f t="shared" si="55"/>
        <v>23.376583190366411</v>
      </c>
      <c r="N1194" s="3">
        <v>96.1</v>
      </c>
      <c r="O1194" s="5">
        <f t="shared" si="56"/>
        <v>24.325268668435392</v>
      </c>
      <c r="P1194" s="2" t="s">
        <v>36</v>
      </c>
    </row>
    <row r="1195" spans="1:16" x14ac:dyDescent="0.2">
      <c r="A1195" s="2" t="s">
        <v>1593</v>
      </c>
      <c r="B1195" s="2" t="s">
        <v>812</v>
      </c>
      <c r="C1195" s="2" t="s">
        <v>91</v>
      </c>
      <c r="D1195" s="2" t="s">
        <v>92</v>
      </c>
      <c r="E1195" s="2" t="s">
        <v>114</v>
      </c>
      <c r="F1195" s="2" t="s">
        <v>21</v>
      </c>
      <c r="G1195" s="2" t="s">
        <v>98</v>
      </c>
      <c r="H1195" s="3">
        <v>11924</v>
      </c>
      <c r="I1195" s="4">
        <v>20</v>
      </c>
      <c r="J1195" s="5">
        <v>4.2</v>
      </c>
      <c r="K1195" s="4">
        <v>80</v>
      </c>
      <c r="L1195" s="3">
        <f t="shared" si="54"/>
        <v>2384.7999999999993</v>
      </c>
      <c r="M1195" s="3">
        <f t="shared" si="55"/>
        <v>58.815915592989711</v>
      </c>
      <c r="N1195" s="3">
        <v>175.9</v>
      </c>
      <c r="O1195" s="5">
        <f t="shared" si="56"/>
        <v>33.43713223023861</v>
      </c>
      <c r="P1195" s="2" t="s">
        <v>36</v>
      </c>
    </row>
    <row r="1196" spans="1:16" x14ac:dyDescent="0.2">
      <c r="A1196" s="2" t="s">
        <v>1594</v>
      </c>
      <c r="B1196" s="2" t="s">
        <v>399</v>
      </c>
      <c r="C1196" s="2" t="s">
        <v>142</v>
      </c>
      <c r="D1196" s="2" t="s">
        <v>143</v>
      </c>
      <c r="E1196" s="2" t="s">
        <v>114</v>
      </c>
      <c r="F1196" s="2" t="s">
        <v>59</v>
      </c>
      <c r="G1196" s="2" t="s">
        <v>44</v>
      </c>
      <c r="H1196" s="3">
        <v>9002</v>
      </c>
      <c r="I1196" s="4">
        <v>20</v>
      </c>
      <c r="J1196" s="5">
        <v>5.08</v>
      </c>
      <c r="K1196" s="4">
        <v>75</v>
      </c>
      <c r="L1196" s="3">
        <f t="shared" si="54"/>
        <v>2250.5</v>
      </c>
      <c r="M1196" s="3">
        <f t="shared" si="55"/>
        <v>44.85582528570442</v>
      </c>
      <c r="N1196" s="3">
        <v>120.3</v>
      </c>
      <c r="O1196" s="5">
        <f t="shared" si="56"/>
        <v>37.286637810228115</v>
      </c>
      <c r="P1196" s="2" t="s">
        <v>36</v>
      </c>
    </row>
    <row r="1197" spans="1:16" x14ac:dyDescent="0.2">
      <c r="A1197" s="2" t="s">
        <v>1595</v>
      </c>
      <c r="B1197" s="2" t="s">
        <v>612</v>
      </c>
      <c r="C1197" s="2" t="s">
        <v>175</v>
      </c>
      <c r="D1197" s="2" t="s">
        <v>176</v>
      </c>
      <c r="E1197" s="2" t="s">
        <v>107</v>
      </c>
      <c r="F1197" s="2" t="s">
        <v>28</v>
      </c>
      <c r="G1197" s="2" t="s">
        <v>22</v>
      </c>
      <c r="H1197" s="3">
        <v>7581</v>
      </c>
      <c r="I1197" s="4">
        <v>20</v>
      </c>
      <c r="J1197" s="5">
        <v>5.04</v>
      </c>
      <c r="K1197" s="4">
        <v>80</v>
      </c>
      <c r="L1197" s="3">
        <f t="shared" si="54"/>
        <v>1516.1999999999996</v>
      </c>
      <c r="M1197" s="3">
        <f t="shared" si="55"/>
        <v>40.159129935696704</v>
      </c>
      <c r="N1197" s="3">
        <v>111.4</v>
      </c>
      <c r="O1197" s="5">
        <f t="shared" si="56"/>
        <v>36.049488272618227</v>
      </c>
      <c r="P1197" s="2" t="s">
        <v>36</v>
      </c>
    </row>
    <row r="1198" spans="1:16" x14ac:dyDescent="0.2">
      <c r="A1198" s="2" t="s">
        <v>1596</v>
      </c>
      <c r="B1198" s="2" t="s">
        <v>1160</v>
      </c>
      <c r="C1198" s="2" t="s">
        <v>18</v>
      </c>
      <c r="D1198" s="2" t="s">
        <v>19</v>
      </c>
      <c r="E1198" s="2" t="s">
        <v>78</v>
      </c>
      <c r="F1198" s="2" t="s">
        <v>59</v>
      </c>
      <c r="G1198" s="2" t="s">
        <v>22</v>
      </c>
      <c r="H1198" s="3">
        <v>12401</v>
      </c>
      <c r="I1198" s="4">
        <v>25</v>
      </c>
      <c r="J1198" s="5">
        <v>4.3</v>
      </c>
      <c r="K1198" s="4">
        <v>75</v>
      </c>
      <c r="L1198" s="3">
        <f t="shared" si="54"/>
        <v>3100.25</v>
      </c>
      <c r="M1198" s="3">
        <f t="shared" si="55"/>
        <v>50.646453708288988</v>
      </c>
      <c r="N1198" s="3">
        <v>141.1</v>
      </c>
      <c r="O1198" s="5">
        <f t="shared" si="56"/>
        <v>35.894013967603819</v>
      </c>
      <c r="P1198" s="2" t="s">
        <v>36</v>
      </c>
    </row>
    <row r="1199" spans="1:16" x14ac:dyDescent="0.2">
      <c r="A1199" s="2" t="s">
        <v>1597</v>
      </c>
      <c r="B1199" s="2" t="s">
        <v>661</v>
      </c>
      <c r="C1199" s="2" t="s">
        <v>100</v>
      </c>
      <c r="D1199" s="2" t="s">
        <v>32</v>
      </c>
      <c r="E1199" s="2" t="s">
        <v>78</v>
      </c>
      <c r="F1199" s="2" t="s">
        <v>34</v>
      </c>
      <c r="G1199" s="2" t="s">
        <v>98</v>
      </c>
      <c r="H1199" s="3">
        <v>3902</v>
      </c>
      <c r="I1199" s="4">
        <v>15</v>
      </c>
      <c r="J1199" s="5">
        <v>4.43</v>
      </c>
      <c r="K1199" s="4">
        <v>75</v>
      </c>
      <c r="L1199" s="3">
        <f t="shared" si="54"/>
        <v>975.5</v>
      </c>
      <c r="M1199" s="3">
        <f t="shared" si="55"/>
        <v>22.282974467900971</v>
      </c>
      <c r="N1199" s="3">
        <v>68.599999999999994</v>
      </c>
      <c r="O1199" s="5">
        <f t="shared" si="56"/>
        <v>32.482470069826491</v>
      </c>
      <c r="P1199" s="2" t="s">
        <v>69</v>
      </c>
    </row>
    <row r="1200" spans="1:16" x14ac:dyDescent="0.2">
      <c r="A1200" s="2" t="s">
        <v>1598</v>
      </c>
      <c r="B1200" s="2" t="s">
        <v>1330</v>
      </c>
      <c r="C1200" s="2" t="s">
        <v>53</v>
      </c>
      <c r="D1200" s="2" t="s">
        <v>19</v>
      </c>
      <c r="E1200" s="2" t="s">
        <v>114</v>
      </c>
      <c r="F1200" s="2" t="s">
        <v>34</v>
      </c>
      <c r="G1200" s="2" t="s">
        <v>22</v>
      </c>
      <c r="H1200" s="3">
        <v>17920</v>
      </c>
      <c r="I1200" s="4">
        <v>30</v>
      </c>
      <c r="J1200" s="5">
        <v>5.0199999999999996</v>
      </c>
      <c r="K1200" s="4">
        <v>75</v>
      </c>
      <c r="L1200" s="3">
        <f t="shared" si="54"/>
        <v>4480</v>
      </c>
      <c r="M1200" s="3">
        <f t="shared" si="55"/>
        <v>72.313194578380177</v>
      </c>
      <c r="N1200" s="3">
        <v>196.8</v>
      </c>
      <c r="O1200" s="5">
        <f t="shared" si="56"/>
        <v>36.744509440233827</v>
      </c>
      <c r="P1200" s="2" t="s">
        <v>69</v>
      </c>
    </row>
    <row r="1201" spans="1:16" x14ac:dyDescent="0.2">
      <c r="A1201" s="2" t="s">
        <v>1599</v>
      </c>
      <c r="B1201" s="2" t="s">
        <v>392</v>
      </c>
      <c r="C1201" s="2" t="s">
        <v>100</v>
      </c>
      <c r="D1201" s="2" t="s">
        <v>32</v>
      </c>
      <c r="E1201" s="2" t="s">
        <v>41</v>
      </c>
      <c r="F1201" s="2" t="s">
        <v>59</v>
      </c>
      <c r="G1201" s="2" t="s">
        <v>44</v>
      </c>
      <c r="H1201" s="3">
        <v>8062</v>
      </c>
      <c r="I1201" s="4">
        <v>25</v>
      </c>
      <c r="J1201" s="5">
        <v>5.73</v>
      </c>
      <c r="K1201" s="4">
        <v>70</v>
      </c>
      <c r="L1201" s="3">
        <f t="shared" si="54"/>
        <v>2418.6000000000004</v>
      </c>
      <c r="M1201" s="3">
        <f t="shared" si="55"/>
        <v>35.434816542982958</v>
      </c>
      <c r="N1201" s="3">
        <v>127.2</v>
      </c>
      <c r="O1201" s="5">
        <f t="shared" si="56"/>
        <v>27.857560175301067</v>
      </c>
      <c r="P1201" s="2" t="s">
        <v>29</v>
      </c>
    </row>
    <row r="1203" spans="1:16" x14ac:dyDescent="0.2">
      <c r="A1203" s="6" t="s">
        <v>1600</v>
      </c>
    </row>
  </sheetData>
  <autoFilter ref="A1:P12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/>
  </sheetViews>
  <sheetFormatPr baseColWidth="10" defaultColWidth="8.6640625" defaultRowHeight="15" x14ac:dyDescent="0.2"/>
  <cols>
    <col min="1" max="1" width="17" customWidth="1"/>
    <col min="2" max="2" width="12" customWidth="1"/>
    <col min="3" max="3" width="15" customWidth="1"/>
    <col min="4" max="4" width="17" customWidth="1"/>
    <col min="5" max="6" width="15" customWidth="1"/>
  </cols>
  <sheetData>
    <row r="1" spans="1:6" x14ac:dyDescent="0.2">
      <c r="A1" s="1" t="s">
        <v>3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</row>
    <row r="2" spans="1:6" x14ac:dyDescent="0.2">
      <c r="A2" s="2" t="s">
        <v>67</v>
      </c>
      <c r="B2" s="4">
        <f>COUNTIF('Hipotecarios Otorgados'!D:D,A2)</f>
        <v>69</v>
      </c>
      <c r="C2" s="7">
        <f>SUMIF('Hipotecarios Otorgados'!D:D,A2,'Hipotecarios Otorgados'!H:H)</f>
        <v>600164</v>
      </c>
      <c r="D2" s="7">
        <f t="shared" ref="D2:D16" si="0">IFERROR(C2/B2,0)</f>
        <v>8698.028985507246</v>
      </c>
      <c r="E2" s="5">
        <f>IFERROR(AVERAGEIF('Hipotecarios Otorgados'!D:D,A2,'Hipotecarios Otorgados'!J:J),0)</f>
        <v>4.8485507246376809</v>
      </c>
      <c r="F2" s="5">
        <f>IFERROR(AVERAGEIF('Hipotecarios Otorgados'!D:D,A2,'Hipotecarios Otorgados'!K:K),0)</f>
        <v>80.869565217391298</v>
      </c>
    </row>
    <row r="3" spans="1:6" x14ac:dyDescent="0.2">
      <c r="A3" s="2" t="s">
        <v>40</v>
      </c>
      <c r="B3" s="4">
        <f>COUNTIF('Hipotecarios Otorgados'!D:D,A3)</f>
        <v>50</v>
      </c>
      <c r="C3" s="7">
        <f>SUMIF('Hipotecarios Otorgados'!D:D,A3,'Hipotecarios Otorgados'!H:H)</f>
        <v>552528</v>
      </c>
      <c r="D3" s="7">
        <f t="shared" si="0"/>
        <v>11050.56</v>
      </c>
      <c r="E3" s="5">
        <f>IFERROR(AVERAGEIF('Hipotecarios Otorgados'!D:D,A3,'Hipotecarios Otorgados'!J:J),0)</f>
        <v>4.6955999999999998</v>
      </c>
      <c r="F3" s="5">
        <f>IFERROR(AVERAGEIF('Hipotecarios Otorgados'!D:D,A3,'Hipotecarios Otorgados'!K:K),0)</f>
        <v>79.3</v>
      </c>
    </row>
    <row r="4" spans="1:6" x14ac:dyDescent="0.2">
      <c r="A4" s="2" t="s">
        <v>48</v>
      </c>
      <c r="B4" s="4">
        <f>COUNTIF('Hipotecarios Otorgados'!D:D,A4)</f>
        <v>53</v>
      </c>
      <c r="C4" s="7">
        <f>SUMIF('Hipotecarios Otorgados'!D:D,A4,'Hipotecarios Otorgados'!H:H)</f>
        <v>538943</v>
      </c>
      <c r="D4" s="7">
        <f t="shared" si="0"/>
        <v>10168.735849056604</v>
      </c>
      <c r="E4" s="5">
        <f>IFERROR(AVERAGEIF('Hipotecarios Otorgados'!D:D,A4,'Hipotecarios Otorgados'!J:J),0)</f>
        <v>4.7899999999999983</v>
      </c>
      <c r="F4" s="5">
        <f>IFERROR(AVERAGEIF('Hipotecarios Otorgados'!D:D,A4,'Hipotecarios Otorgados'!K:K),0)</f>
        <v>80.094339622641513</v>
      </c>
    </row>
    <row r="5" spans="1:6" x14ac:dyDescent="0.2">
      <c r="A5" s="2" t="s">
        <v>176</v>
      </c>
      <c r="B5" s="4">
        <f>COUNTIF('Hipotecarios Otorgados'!D:D,A5)</f>
        <v>50</v>
      </c>
      <c r="C5" s="7">
        <f>SUMIF('Hipotecarios Otorgados'!D:D,A5,'Hipotecarios Otorgados'!H:H)</f>
        <v>487965</v>
      </c>
      <c r="D5" s="7">
        <f t="shared" si="0"/>
        <v>9759.2999999999993</v>
      </c>
      <c r="E5" s="5">
        <f>IFERROR(AVERAGEIF('Hipotecarios Otorgados'!D:D,A5,'Hipotecarios Otorgados'!J:J),0)</f>
        <v>4.747399999999999</v>
      </c>
      <c r="F5" s="5">
        <f>IFERROR(AVERAGEIF('Hipotecarios Otorgados'!D:D,A5,'Hipotecarios Otorgados'!K:K),0)</f>
        <v>80.099999999999994</v>
      </c>
    </row>
    <row r="6" spans="1:6" x14ac:dyDescent="0.2">
      <c r="A6" s="2" t="s">
        <v>27</v>
      </c>
      <c r="B6" s="4">
        <f>COUNTIF('Hipotecarios Otorgados'!D:D,A6)</f>
        <v>111</v>
      </c>
      <c r="C6" s="7">
        <f>SUMIF('Hipotecarios Otorgados'!D:D,A6,'Hipotecarios Otorgados'!H:H)</f>
        <v>1117406</v>
      </c>
      <c r="D6" s="7">
        <f t="shared" si="0"/>
        <v>10066.720720720721</v>
      </c>
      <c r="E6" s="5">
        <f>IFERROR(AVERAGEIF('Hipotecarios Otorgados'!D:D,A6,'Hipotecarios Otorgados'!J:J),0)</f>
        <v>4.8293693693693696</v>
      </c>
      <c r="F6" s="5">
        <f>IFERROR(AVERAGEIF('Hipotecarios Otorgados'!D:D,A6,'Hipotecarios Otorgados'!K:K),0)</f>
        <v>79.63963963963964</v>
      </c>
    </row>
    <row r="7" spans="1:6" x14ac:dyDescent="0.2">
      <c r="A7" s="2" t="s">
        <v>63</v>
      </c>
      <c r="B7" s="4">
        <f>COUNTIF('Hipotecarios Otorgados'!D:D,A7)</f>
        <v>66</v>
      </c>
      <c r="C7" s="7">
        <f>SUMIF('Hipotecarios Otorgados'!D:D,A7,'Hipotecarios Otorgados'!H:H)</f>
        <v>634204</v>
      </c>
      <c r="D7" s="7">
        <f t="shared" si="0"/>
        <v>9609.1515151515159</v>
      </c>
      <c r="E7" s="5">
        <f>IFERROR(AVERAGEIF('Hipotecarios Otorgados'!D:D,A7,'Hipotecarios Otorgados'!J:J),0)</f>
        <v>4.9136363636363631</v>
      </c>
      <c r="F7" s="5">
        <f>IFERROR(AVERAGEIF('Hipotecarios Otorgados'!D:D,A7,'Hipotecarios Otorgados'!K:K),0)</f>
        <v>78.86363636363636</v>
      </c>
    </row>
    <row r="8" spans="1:6" x14ac:dyDescent="0.2">
      <c r="A8" s="2" t="s">
        <v>92</v>
      </c>
      <c r="B8" s="4">
        <f>COUNTIF('Hipotecarios Otorgados'!D:D,A8)</f>
        <v>63</v>
      </c>
      <c r="C8" s="7">
        <f>SUMIF('Hipotecarios Otorgados'!D:D,A8,'Hipotecarios Otorgados'!H:H)</f>
        <v>659591</v>
      </c>
      <c r="D8" s="7">
        <f t="shared" si="0"/>
        <v>10469.698412698413</v>
      </c>
      <c r="E8" s="5">
        <f>IFERROR(AVERAGEIF('Hipotecarios Otorgados'!D:D,A8,'Hipotecarios Otorgados'!J:J),0)</f>
        <v>4.8444444444444441</v>
      </c>
      <c r="F8" s="5">
        <f>IFERROR(AVERAGEIF('Hipotecarios Otorgados'!D:D,A8,'Hipotecarios Otorgados'!K:K),0)</f>
        <v>78.650793650793645</v>
      </c>
    </row>
    <row r="9" spans="1:6" x14ac:dyDescent="0.2">
      <c r="A9" s="2" t="s">
        <v>57</v>
      </c>
      <c r="B9" s="4">
        <f>COUNTIF('Hipotecarios Otorgados'!D:D,A9)</f>
        <v>66</v>
      </c>
      <c r="C9" s="7">
        <f>SUMIF('Hipotecarios Otorgados'!D:D,A9,'Hipotecarios Otorgados'!H:H)</f>
        <v>651271</v>
      </c>
      <c r="D9" s="7">
        <f t="shared" si="0"/>
        <v>9867.742424242424</v>
      </c>
      <c r="E9" s="5">
        <f>IFERROR(AVERAGEIF('Hipotecarios Otorgados'!D:D,A9,'Hipotecarios Otorgados'!J:J),0)</f>
        <v>4.8818181818181827</v>
      </c>
      <c r="F9" s="5">
        <f>IFERROR(AVERAGEIF('Hipotecarios Otorgados'!D:D,A9,'Hipotecarios Otorgados'!K:K),0)</f>
        <v>80</v>
      </c>
    </row>
    <row r="10" spans="1:6" x14ac:dyDescent="0.2">
      <c r="A10" s="2" t="s">
        <v>85</v>
      </c>
      <c r="B10" s="4">
        <f>COUNTIF('Hipotecarios Otorgados'!D:D,A10)</f>
        <v>58</v>
      </c>
      <c r="C10" s="7">
        <f>SUMIF('Hipotecarios Otorgados'!D:D,A10,'Hipotecarios Otorgados'!H:H)</f>
        <v>577984</v>
      </c>
      <c r="D10" s="7">
        <f t="shared" si="0"/>
        <v>9965.2413793103442</v>
      </c>
      <c r="E10" s="5">
        <f>IFERROR(AVERAGEIF('Hipotecarios Otorgados'!D:D,A10,'Hipotecarios Otorgados'!J:J),0)</f>
        <v>4.8218965517241363</v>
      </c>
      <c r="F10" s="5">
        <f>IFERROR(AVERAGEIF('Hipotecarios Otorgados'!D:D,A10,'Hipotecarios Otorgados'!K:K),0)</f>
        <v>81.034482758620683</v>
      </c>
    </row>
    <row r="11" spans="1:6" x14ac:dyDescent="0.2">
      <c r="A11" s="2" t="s">
        <v>143</v>
      </c>
      <c r="B11" s="4">
        <f>COUNTIF('Hipotecarios Otorgados'!D:D,A11)</f>
        <v>51</v>
      </c>
      <c r="C11" s="7">
        <f>SUMIF('Hipotecarios Otorgados'!D:D,A11,'Hipotecarios Otorgados'!H:H)</f>
        <v>523598</v>
      </c>
      <c r="D11" s="7">
        <f t="shared" si="0"/>
        <v>10266.627450980392</v>
      </c>
      <c r="E11" s="5">
        <f>IFERROR(AVERAGEIF('Hipotecarios Otorgados'!D:D,A11,'Hipotecarios Otorgados'!J:J),0)</f>
        <v>4.8515686274509804</v>
      </c>
      <c r="F11" s="5">
        <f>IFERROR(AVERAGEIF('Hipotecarios Otorgados'!D:D,A11,'Hipotecarios Otorgados'!K:K),0)</f>
        <v>79.117647058823536</v>
      </c>
    </row>
    <row r="12" spans="1:6" x14ac:dyDescent="0.2">
      <c r="A12" s="2" t="s">
        <v>19</v>
      </c>
      <c r="B12" s="4">
        <f>COUNTIF('Hipotecarios Otorgados'!D:D,A12)</f>
        <v>322</v>
      </c>
      <c r="C12" s="7">
        <f>SUMIF('Hipotecarios Otorgados'!D:D,A12,'Hipotecarios Otorgados'!H:H)</f>
        <v>3264653</v>
      </c>
      <c r="D12" s="7">
        <f t="shared" si="0"/>
        <v>10138.673913043478</v>
      </c>
      <c r="E12" s="5">
        <f>IFERROR(AVERAGEIF('Hipotecarios Otorgados'!D:D,A12,'Hipotecarios Otorgados'!J:J),0)</f>
        <v>4.800776397515528</v>
      </c>
      <c r="F12" s="5">
        <f>IFERROR(AVERAGEIF('Hipotecarios Otorgados'!D:D,A12,'Hipotecarios Otorgados'!K:K),0)</f>
        <v>80.450310559006212</v>
      </c>
    </row>
    <row r="13" spans="1:6" x14ac:dyDescent="0.2">
      <c r="A13" s="2" t="s">
        <v>73</v>
      </c>
      <c r="B13" s="4">
        <f>COUNTIF('Hipotecarios Otorgados'!D:D,A13)</f>
        <v>68</v>
      </c>
      <c r="C13" s="7">
        <f>SUMIF('Hipotecarios Otorgados'!D:D,A13,'Hipotecarios Otorgados'!H:H)</f>
        <v>654066</v>
      </c>
      <c r="D13" s="7">
        <f t="shared" si="0"/>
        <v>9618.6176470588234</v>
      </c>
      <c r="E13" s="5">
        <f>IFERROR(AVERAGEIF('Hipotecarios Otorgados'!D:D,A13,'Hipotecarios Otorgados'!J:J),0)</f>
        <v>4.8264705882352947</v>
      </c>
      <c r="F13" s="5">
        <f>IFERROR(AVERAGEIF('Hipotecarios Otorgados'!D:D,A13,'Hipotecarios Otorgados'!K:K),0)</f>
        <v>80.808823529411768</v>
      </c>
    </row>
    <row r="14" spans="1:6" x14ac:dyDescent="0.2">
      <c r="A14" s="2" t="s">
        <v>32</v>
      </c>
      <c r="B14" s="4">
        <f>COUNTIF('Hipotecarios Otorgados'!D:D,A14)</f>
        <v>128</v>
      </c>
      <c r="C14" s="7">
        <f>SUMIF('Hipotecarios Otorgados'!D:D,A14,'Hipotecarios Otorgados'!H:H)</f>
        <v>1300844</v>
      </c>
      <c r="D14" s="7">
        <f t="shared" si="0"/>
        <v>10162.84375</v>
      </c>
      <c r="E14" s="5">
        <f>IFERROR(AVERAGEIF('Hipotecarios Otorgados'!D:D,A14,'Hipotecarios Otorgados'!J:J),0)</f>
        <v>4.8937500000000025</v>
      </c>
      <c r="F14" s="5">
        <f>IFERROR(AVERAGEIF('Hipotecarios Otorgados'!D:D,A14,'Hipotecarios Otorgados'!K:K),0)</f>
        <v>79.6875</v>
      </c>
    </row>
    <row r="15" spans="1:6" x14ac:dyDescent="0.2">
      <c r="A15" s="2" t="s">
        <v>120</v>
      </c>
      <c r="B15" s="4">
        <f>COUNTIF('Hipotecarios Otorgados'!D:D,A15)</f>
        <v>45</v>
      </c>
      <c r="C15" s="7">
        <f>SUMIF('Hipotecarios Otorgados'!D:D,A15,'Hipotecarios Otorgados'!H:H)</f>
        <v>402160</v>
      </c>
      <c r="D15" s="7">
        <f t="shared" si="0"/>
        <v>8936.8888888888887</v>
      </c>
      <c r="E15" s="5">
        <f>IFERROR(AVERAGEIF('Hipotecarios Otorgados'!D:D,A15,'Hipotecarios Otorgados'!J:J),0)</f>
        <v>4.8517777777777784</v>
      </c>
      <c r="F15" s="5">
        <f>IFERROR(AVERAGEIF('Hipotecarios Otorgados'!D:D,A15,'Hipotecarios Otorgados'!K:K),0)</f>
        <v>81.444444444444443</v>
      </c>
    </row>
    <row r="16" spans="1:6" x14ac:dyDescent="0.2">
      <c r="A16" s="8" t="s">
        <v>1606</v>
      </c>
      <c r="B16" s="9">
        <f>SUM(B2:B15)</f>
        <v>1200</v>
      </c>
      <c r="C16" s="10">
        <f>SUM(C2:C15)</f>
        <v>11965377</v>
      </c>
      <c r="D16" s="10">
        <f t="shared" si="0"/>
        <v>9971.1474999999991</v>
      </c>
      <c r="E16" s="11">
        <f>AVERAGE('Hipotecarios Otorgados'!J2:J1201)</f>
        <v>4.8285083333333256</v>
      </c>
      <c r="F16" s="11">
        <f>AVERAGE('Hipotecarios Otorgados'!K2:K1201)</f>
        <v>80.0625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EA4-B923-FB49-B10A-3DAE0F46ABCD}">
  <dimension ref="A1:P52"/>
  <sheetViews>
    <sheetView workbookViewId="0">
      <selection activeCell="Q41" sqref="Q41"/>
    </sheetView>
  </sheetViews>
  <sheetFormatPr baseColWidth="10" defaultRowHeight="15" x14ac:dyDescent="0.2"/>
  <cols>
    <col min="1" max="1" width="19.1640625" customWidth="1"/>
    <col min="2" max="4" width="13.6640625" customWidth="1"/>
  </cols>
  <sheetData>
    <row r="1" spans="1:16" ht="27" x14ac:dyDescent="0.35">
      <c r="A1" s="18" t="s">
        <v>1607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">
      <c r="A2" s="20" t="s">
        <v>1611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">
      <c r="A4" s="22" t="s">
        <v>1608</v>
      </c>
      <c r="B4" s="22"/>
      <c r="C4" s="22"/>
      <c r="D4" s="2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">
      <c r="A5" s="13" t="s">
        <v>5</v>
      </c>
      <c r="B5" s="12" t="s">
        <v>1601</v>
      </c>
      <c r="C5" s="12" t="s">
        <v>1602</v>
      </c>
      <c r="D5" s="12" t="s">
        <v>1604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">
      <c r="A6" s="12" t="s">
        <v>50</v>
      </c>
      <c r="B6" s="14">
        <v>254</v>
      </c>
      <c r="C6" s="14">
        <v>2671824</v>
      </c>
      <c r="D6" s="15">
        <v>4.7931496062992114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x14ac:dyDescent="0.2">
      <c r="A7" s="12" t="s">
        <v>59</v>
      </c>
      <c r="B7" s="14">
        <v>245</v>
      </c>
      <c r="C7" s="14">
        <v>2334461</v>
      </c>
      <c r="D7" s="15">
        <v>4.8734693877550992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">
      <c r="A8" s="12" t="s">
        <v>28</v>
      </c>
      <c r="B8" s="14">
        <v>221</v>
      </c>
      <c r="C8" s="14">
        <v>2192640</v>
      </c>
      <c r="D8" s="15">
        <v>4.8464705882352961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">
      <c r="A9" s="12" t="s">
        <v>34</v>
      </c>
      <c r="B9" s="14">
        <v>240</v>
      </c>
      <c r="C9" s="14">
        <v>2400871</v>
      </c>
      <c r="D9" s="15">
        <v>4.833083333333331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x14ac:dyDescent="0.2">
      <c r="A10" s="12" t="s">
        <v>21</v>
      </c>
      <c r="B10" s="14">
        <v>240</v>
      </c>
      <c r="C10" s="14">
        <v>2365581</v>
      </c>
      <c r="D10" s="15">
        <v>4.7989166666666607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2">
      <c r="A17" s="22" t="s">
        <v>1609</v>
      </c>
      <c r="B17" s="22"/>
      <c r="C17" s="2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">
      <c r="A18" s="13" t="s">
        <v>3</v>
      </c>
      <c r="B18" s="12" t="s">
        <v>1602</v>
      </c>
      <c r="C18" s="12" t="s">
        <v>1604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2">
      <c r="A19" s="12" t="s">
        <v>67</v>
      </c>
      <c r="B19" s="14">
        <v>600164</v>
      </c>
      <c r="C19" s="15">
        <v>4.8485507246376809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2">
      <c r="A20" s="12" t="s">
        <v>40</v>
      </c>
      <c r="B20" s="14">
        <v>552528</v>
      </c>
      <c r="C20" s="15">
        <v>4.6955999999999998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">
      <c r="A21" s="12" t="s">
        <v>48</v>
      </c>
      <c r="B21" s="14">
        <v>538943</v>
      </c>
      <c r="C21" s="15">
        <v>4.7899999999999983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2">
      <c r="A22" s="12" t="s">
        <v>176</v>
      </c>
      <c r="B22" s="14">
        <v>487965</v>
      </c>
      <c r="C22" s="15">
        <v>4.747399999999999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x14ac:dyDescent="0.2">
      <c r="A23" s="12" t="s">
        <v>27</v>
      </c>
      <c r="B23" s="14">
        <v>1117406</v>
      </c>
      <c r="C23" s="15">
        <v>4.8293693693693696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">
      <c r="A24" s="12" t="s">
        <v>63</v>
      </c>
      <c r="B24" s="14">
        <v>634204</v>
      </c>
      <c r="C24" s="15">
        <v>4.9136363636363631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">
      <c r="A25" s="12" t="s">
        <v>92</v>
      </c>
      <c r="B25" s="14">
        <v>659591</v>
      </c>
      <c r="C25" s="15">
        <v>4.8444444444444441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">
      <c r="A26" s="12" t="s">
        <v>57</v>
      </c>
      <c r="B26" s="14">
        <v>651271</v>
      </c>
      <c r="C26" s="15">
        <v>4.8818181818181827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">
      <c r="A27" s="12" t="s">
        <v>85</v>
      </c>
      <c r="B27" s="14">
        <v>577984</v>
      </c>
      <c r="C27" s="15">
        <v>4.8218965517241363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">
      <c r="A28" s="12" t="s">
        <v>120</v>
      </c>
      <c r="B28" s="14">
        <v>402160</v>
      </c>
      <c r="C28" s="15">
        <v>4.8517777777777784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 t="s">
        <v>143</v>
      </c>
      <c r="B29" s="14">
        <v>523598</v>
      </c>
      <c r="C29" s="15">
        <v>4.8515686274509804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 t="s">
        <v>19</v>
      </c>
      <c r="B30" s="14">
        <v>3264653</v>
      </c>
      <c r="C30" s="15">
        <v>4.800776397515528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 t="s">
        <v>73</v>
      </c>
      <c r="B31" s="14">
        <v>654066</v>
      </c>
      <c r="C31" s="15">
        <v>4.8264705882352947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 t="s">
        <v>32</v>
      </c>
      <c r="B32" s="14">
        <v>1300844</v>
      </c>
      <c r="C32" s="15">
        <v>4.8937500000000025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4"/>
      <c r="C33" s="1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22" t="s">
        <v>1610</v>
      </c>
      <c r="B39" s="22"/>
      <c r="C39" s="2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2">
      <c r="A40" s="13" t="s">
        <v>15</v>
      </c>
      <c r="B40" s="12" t="s">
        <v>1601</v>
      </c>
      <c r="C40" s="12" t="s">
        <v>1602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2">
      <c r="A41" s="12" t="s">
        <v>23</v>
      </c>
      <c r="B41" s="14">
        <v>127</v>
      </c>
      <c r="C41" s="14">
        <v>1310117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2">
      <c r="A42" s="12" t="s">
        <v>69</v>
      </c>
      <c r="B42" s="14">
        <v>141</v>
      </c>
      <c r="C42" s="14">
        <v>1380982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x14ac:dyDescent="0.2">
      <c r="A43" s="12" t="s">
        <v>29</v>
      </c>
      <c r="B43" s="14">
        <v>157</v>
      </c>
      <c r="C43" s="14">
        <v>1593069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x14ac:dyDescent="0.2">
      <c r="A44" s="12" t="s">
        <v>36</v>
      </c>
      <c r="B44" s="14">
        <v>775</v>
      </c>
      <c r="C44" s="14">
        <v>7681209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ht="18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ht="18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ht="18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ht="18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18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ht="18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ht="18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ht="1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</sheetData>
  <mergeCells count="5">
    <mergeCell ref="A1:P1"/>
    <mergeCell ref="A2:P2"/>
    <mergeCell ref="A4:D4"/>
    <mergeCell ref="A17:C17"/>
    <mergeCell ref="A39:C39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2DD5-894B-1C4B-A4AD-8EBEC2EFF104}">
  <dimension ref="A1:K16"/>
  <sheetViews>
    <sheetView workbookViewId="0"/>
  </sheetViews>
  <sheetFormatPr baseColWidth="10" defaultRowHeight="15" x14ac:dyDescent="0.2"/>
  <sheetData>
    <row r="1" spans="1:11" x14ac:dyDescent="0.2">
      <c r="A1" t="s">
        <v>5</v>
      </c>
      <c r="B1" t="s">
        <v>1601</v>
      </c>
      <c r="D1" t="s">
        <v>5</v>
      </c>
      <c r="E1" t="s">
        <v>1604</v>
      </c>
      <c r="G1" t="s">
        <v>3</v>
      </c>
      <c r="H1" t="s">
        <v>1602</v>
      </c>
      <c r="J1" t="s">
        <v>15</v>
      </c>
      <c r="K1" t="s">
        <v>1601</v>
      </c>
    </row>
    <row r="2" spans="1:11" x14ac:dyDescent="0.2">
      <c r="A2" t="str">
        <f>'Dashboard Hipotecario'!A6</f>
        <v>Personas</v>
      </c>
      <c r="B2" s="16">
        <f>'Dashboard Hipotecario'!B6</f>
        <v>254</v>
      </c>
      <c r="D2" t="str">
        <f>'Dashboard Hipotecario'!A6</f>
        <v>Personas</v>
      </c>
      <c r="E2" s="17">
        <f>'Dashboard Hipotecario'!D6</f>
        <v>4.7931496062992114</v>
      </c>
      <c r="G2" t="str">
        <f>'Dashboard Hipotecario'!A19</f>
        <v>Antofagasta</v>
      </c>
      <c r="H2" s="16">
        <f>'Dashboard Hipotecario'!B19</f>
        <v>600164</v>
      </c>
      <c r="J2" t="str">
        <f>'Dashboard Hipotecario'!A41</f>
        <v>Castigado</v>
      </c>
      <c r="K2" s="16">
        <f>'Dashboard Hipotecario'!B41</f>
        <v>127</v>
      </c>
    </row>
    <row r="3" spans="1:11" x14ac:dyDescent="0.2">
      <c r="A3" t="str">
        <f>'Dashboard Hipotecario'!A7</f>
        <v>Private Banking</v>
      </c>
      <c r="B3" s="16">
        <f>'Dashboard Hipotecario'!B7</f>
        <v>245</v>
      </c>
      <c r="D3" t="str">
        <f>'Dashboard Hipotecario'!A7</f>
        <v>Private Banking</v>
      </c>
      <c r="E3" s="17">
        <f>'Dashboard Hipotecario'!D7</f>
        <v>4.8734693877550992</v>
      </c>
      <c r="G3" t="str">
        <f>'Dashboard Hipotecario'!A20</f>
        <v>Araucanía</v>
      </c>
      <c r="H3" s="16">
        <f>'Dashboard Hipotecario'!B20</f>
        <v>552528</v>
      </c>
      <c r="J3" t="str">
        <f>'Dashboard Hipotecario'!A42</f>
        <v>En mora 30-60d</v>
      </c>
      <c r="K3" s="16">
        <f>'Dashboard Hipotecario'!B42</f>
        <v>141</v>
      </c>
    </row>
    <row r="4" spans="1:11" x14ac:dyDescent="0.2">
      <c r="A4" t="str">
        <f>'Dashboard Hipotecario'!A8</f>
        <v>Pyme</v>
      </c>
      <c r="B4" s="16">
        <f>'Dashboard Hipotecario'!B8</f>
        <v>221</v>
      </c>
      <c r="D4" t="str">
        <f>'Dashboard Hipotecario'!A8</f>
        <v>Pyme</v>
      </c>
      <c r="E4" s="17">
        <f>'Dashboard Hipotecario'!D8</f>
        <v>4.8464705882352961</v>
      </c>
      <c r="G4" t="str">
        <f>'Dashboard Hipotecario'!A21</f>
        <v>Arica y Parinacota</v>
      </c>
      <c r="H4" s="16">
        <f>'Dashboard Hipotecario'!B21</f>
        <v>538943</v>
      </c>
      <c r="J4" t="str">
        <f>'Dashboard Hipotecario'!A43</f>
        <v>Pagado anticipado</v>
      </c>
      <c r="K4" s="16">
        <f>'Dashboard Hipotecario'!B43</f>
        <v>157</v>
      </c>
    </row>
    <row r="5" spans="1:11" x14ac:dyDescent="0.2">
      <c r="A5" t="str">
        <f>'Dashboard Hipotecario'!A9</f>
        <v>Select</v>
      </c>
      <c r="B5" s="16">
        <f>'Dashboard Hipotecario'!B9</f>
        <v>240</v>
      </c>
      <c r="D5" t="str">
        <f>'Dashboard Hipotecario'!A9</f>
        <v>Select</v>
      </c>
      <c r="E5" s="17">
        <f>'Dashboard Hipotecario'!D9</f>
        <v>4.833083333333331</v>
      </c>
      <c r="G5" t="str">
        <f>'Dashboard Hipotecario'!A22</f>
        <v>Atacama</v>
      </c>
      <c r="H5" s="16">
        <f>'Dashboard Hipotecario'!B22</f>
        <v>487965</v>
      </c>
      <c r="J5" t="str">
        <f>'Dashboard Hipotecario'!A44</f>
        <v>Vigente</v>
      </c>
      <c r="K5" s="16">
        <f>'Dashboard Hipotecario'!B44</f>
        <v>775</v>
      </c>
    </row>
    <row r="6" spans="1:11" x14ac:dyDescent="0.2">
      <c r="A6" t="str">
        <f>'Dashboard Hipotecario'!A10</f>
        <v>Universitario</v>
      </c>
      <c r="B6" s="16">
        <f>'Dashboard Hipotecario'!B10</f>
        <v>240</v>
      </c>
      <c r="D6" t="str">
        <f>'Dashboard Hipotecario'!A10</f>
        <v>Universitario</v>
      </c>
      <c r="E6" s="17">
        <f>'Dashboard Hipotecario'!D10</f>
        <v>4.7989166666666607</v>
      </c>
      <c r="G6" t="str">
        <f>'Dashboard Hipotecario'!A23</f>
        <v>Biobío</v>
      </c>
      <c r="H6" s="16">
        <f>'Dashboard Hipotecario'!B23</f>
        <v>1117406</v>
      </c>
    </row>
    <row r="7" spans="1:11" x14ac:dyDescent="0.2">
      <c r="G7" t="str">
        <f>'Dashboard Hipotecario'!A24</f>
        <v>Coquimbo</v>
      </c>
      <c r="H7" s="16">
        <f>'Dashboard Hipotecario'!B24</f>
        <v>634204</v>
      </c>
    </row>
    <row r="8" spans="1:11" x14ac:dyDescent="0.2">
      <c r="G8" t="str">
        <f>'Dashboard Hipotecario'!A25</f>
        <v>Los Lagos</v>
      </c>
      <c r="H8" s="16">
        <f>'Dashboard Hipotecario'!B25</f>
        <v>659591</v>
      </c>
    </row>
    <row r="9" spans="1:11" x14ac:dyDescent="0.2">
      <c r="G9" t="str">
        <f>'Dashboard Hipotecario'!A26</f>
        <v>Los Ríos</v>
      </c>
      <c r="H9" s="16">
        <f>'Dashboard Hipotecario'!B26</f>
        <v>651271</v>
      </c>
    </row>
    <row r="10" spans="1:11" x14ac:dyDescent="0.2">
      <c r="G10" t="str">
        <f>'Dashboard Hipotecario'!A27</f>
        <v>Maule</v>
      </c>
      <c r="H10" s="16">
        <f>'Dashboard Hipotecario'!B27</f>
        <v>577984</v>
      </c>
    </row>
    <row r="11" spans="1:11" x14ac:dyDescent="0.2">
      <c r="G11" t="str">
        <f>'Dashboard Hipotecario'!A28</f>
        <v>Ñuble</v>
      </c>
      <c r="H11" s="16">
        <f>'Dashboard Hipotecario'!B28</f>
        <v>402160</v>
      </c>
    </row>
    <row r="12" spans="1:11" x14ac:dyDescent="0.2">
      <c r="G12" t="str">
        <f>'Dashboard Hipotecario'!A29</f>
        <v>O'Higgins</v>
      </c>
      <c r="H12" s="16">
        <f>'Dashboard Hipotecario'!B29</f>
        <v>523598</v>
      </c>
    </row>
    <row r="13" spans="1:11" x14ac:dyDescent="0.2">
      <c r="G13" t="str">
        <f>'Dashboard Hipotecario'!A30</f>
        <v>RM</v>
      </c>
      <c r="H13" s="16">
        <f>'Dashboard Hipotecario'!B30</f>
        <v>3264653</v>
      </c>
    </row>
    <row r="14" spans="1:11" x14ac:dyDescent="0.2">
      <c r="G14" t="str">
        <f>'Dashboard Hipotecario'!A31</f>
        <v>Tarapacá</v>
      </c>
      <c r="H14" s="16">
        <f>'Dashboard Hipotecario'!B31</f>
        <v>654066</v>
      </c>
    </row>
    <row r="15" spans="1:11" x14ac:dyDescent="0.2">
      <c r="G15" t="str">
        <f>'Dashboard Hipotecario'!A32</f>
        <v>Valparaíso</v>
      </c>
      <c r="H15" s="16">
        <f>'Dashboard Hipotecario'!B32</f>
        <v>1300844</v>
      </c>
    </row>
    <row r="16" spans="1:11" x14ac:dyDescent="0.2">
      <c r="G16">
        <f>'Dashboard Hipotecario'!A33</f>
        <v>0</v>
      </c>
      <c r="H16" s="16">
        <f>'Dashboard Hipotecario'!B33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Hipotecarios Otorgados</vt:lpstr>
      <vt:lpstr>Resumen por Región</vt:lpstr>
      <vt:lpstr>Dashboard Hipotecario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Lobos</cp:lastModifiedBy>
  <cp:revision>0</cp:revision>
  <dcterms:created xsi:type="dcterms:W3CDTF">2026-06-17T15:33:14Z</dcterms:created>
  <dcterms:modified xsi:type="dcterms:W3CDTF">2026-09-15T14:06:25Z</dcterms:modified>
  <dc:language>en-US</dc:language>
</cp:coreProperties>
</file>